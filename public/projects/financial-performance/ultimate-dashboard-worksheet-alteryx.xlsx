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ocuments\WES FILES\SCHOOL\ANALYTICS\PORTFOLIO FILES\Financial dash\"/>
    </mc:Choice>
  </mc:AlternateContent>
  <xr:revisionPtr revIDLastSave="0" documentId="13_ncr:1_{49DD5090-DB9B-45AB-865E-27D25CE994CC}" xr6:coauthVersionLast="47" xr6:coauthVersionMax="47" xr10:uidLastSave="{00000000-0000-0000-0000-000000000000}"/>
  <bookViews>
    <workbookView xWindow="-108" yWindow="-108" windowWidth="23256" windowHeight="12456" firstSheet="2" activeTab="4" xr2:uid="{5E5221D6-5DF7-4FD6-9A1B-B30BA935CB77}"/>
  </bookViews>
  <sheets>
    <sheet name="G&amp;A" sheetId="2" r:id="rId1"/>
    <sheet name="R&amp;D" sheetId="4" r:id="rId2"/>
    <sheet name="CS" sheetId="5" r:id="rId3"/>
    <sheet name="S&amp;M" sheetId="6" r:id="rId4"/>
    <sheet name="G&amp;A_Budget" sheetId="7" r:id="rId5"/>
    <sheet name="R&amp;D_Budget" sheetId="8" r:id="rId6"/>
    <sheet name="CS_Budget" sheetId="9" r:id="rId7"/>
    <sheet name="S&amp;M_Budget" sheetId="10" r:id="rId8"/>
  </sheets>
  <definedNames>
    <definedName name="_Order1" hidden="1">255</definedName>
    <definedName name="CandS" localSheetId="2">CS!$B$4:$AM$53</definedName>
    <definedName name="CS_Budget" localSheetId="6">CS_Budget!$B$4:$AM$53</definedName>
    <definedName name="fafa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GandA" localSheetId="0">'G&amp;A'!$B$4:$AM$53</definedName>
    <definedName name="GandA_Budget" localSheetId="4">'G&amp;A_Budget'!$B$4:$AM$53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andD" localSheetId="1">'R&amp;D'!$B$4:$AM$53</definedName>
    <definedName name="RandD_Budget" localSheetId="5">'R&amp;D_Budget'!$B$4:$AM$53</definedName>
    <definedName name="SandM" localSheetId="3">'S&amp;M'!$B$4:$AM$53</definedName>
    <definedName name="SandM_Budget" localSheetId="7">'S&amp;M_Budget'!$B$4:$AM$53</definedName>
    <definedName name="ss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wrn.reporte.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0" l="1"/>
  <c r="E17" i="10"/>
  <c r="E28" i="7"/>
  <c r="E21" i="7"/>
  <c r="E17" i="7"/>
  <c r="E14" i="6"/>
  <c r="E40" i="5"/>
  <c r="F40" i="5" s="1"/>
  <c r="G40" i="5" s="1"/>
  <c r="F35" i="4"/>
  <c r="O35" i="4" s="1"/>
  <c r="V35" i="4" s="1"/>
  <c r="AC35" i="4" s="1"/>
  <c r="AD35" i="4" s="1"/>
  <c r="AI35" i="4" s="1"/>
  <c r="F41" i="2"/>
  <c r="I41" i="2" s="1"/>
  <c r="M41" i="2" s="1"/>
  <c r="Q41" i="2" s="1"/>
  <c r="U41" i="2" s="1"/>
  <c r="X41" i="2" s="1"/>
  <c r="AA41" i="2" s="1"/>
  <c r="AC41" i="2" s="1"/>
  <c r="AE41" i="2" s="1"/>
  <c r="AG41" i="2" s="1"/>
  <c r="AK41" i="2" s="1"/>
  <c r="F40" i="2"/>
  <c r="I40" i="2" s="1"/>
  <c r="M40" i="2" s="1"/>
  <c r="Q40" i="2" s="1"/>
  <c r="U40" i="2" s="1"/>
  <c r="X40" i="2" s="1"/>
  <c r="AA40" i="2" s="1"/>
  <c r="AC40" i="2" s="1"/>
  <c r="AE40" i="2" s="1"/>
  <c r="AG40" i="2" s="1"/>
  <c r="AK40" i="2" s="1"/>
  <c r="F39" i="2"/>
  <c r="I39" i="2" s="1"/>
  <c r="M39" i="2" s="1"/>
  <c r="Q39" i="2" s="1"/>
  <c r="U39" i="2" s="1"/>
  <c r="X39" i="2" s="1"/>
  <c r="AA39" i="2" s="1"/>
  <c r="AC39" i="2" s="1"/>
  <c r="AE39" i="2" s="1"/>
  <c r="AG39" i="2" s="1"/>
  <c r="AK39" i="2" s="1"/>
  <c r="F38" i="2"/>
  <c r="I38" i="2" s="1"/>
  <c r="M38" i="2" s="1"/>
  <c r="Q38" i="2" s="1"/>
  <c r="U38" i="2" s="1"/>
  <c r="X38" i="2" s="1"/>
  <c r="AA38" i="2" s="1"/>
  <c r="AC38" i="2" s="1"/>
  <c r="AE38" i="2" s="1"/>
  <c r="AG38" i="2" s="1"/>
  <c r="AK38" i="2" s="1"/>
  <c r="F37" i="2"/>
  <c r="I37" i="2" s="1"/>
  <c r="M37" i="2" s="1"/>
  <c r="Q37" i="2" s="1"/>
  <c r="U37" i="2" s="1"/>
  <c r="X37" i="2" s="1"/>
  <c r="AA37" i="2" s="1"/>
  <c r="AC37" i="2" s="1"/>
  <c r="AE37" i="2" s="1"/>
  <c r="AG37" i="2" s="1"/>
  <c r="AK37" i="2" s="1"/>
  <c r="F35" i="2"/>
  <c r="I35" i="2" s="1"/>
  <c r="M35" i="2" s="1"/>
  <c r="Q35" i="2" s="1"/>
  <c r="U35" i="2" s="1"/>
  <c r="X35" i="2" s="1"/>
  <c r="AA35" i="2" s="1"/>
  <c r="AC35" i="2" s="1"/>
  <c r="AE35" i="2" s="1"/>
  <c r="AG35" i="2" s="1"/>
  <c r="AK35" i="2" s="1"/>
  <c r="F34" i="2"/>
  <c r="I34" i="2" s="1"/>
  <c r="M34" i="2" s="1"/>
  <c r="Q34" i="2" s="1"/>
  <c r="U34" i="2" s="1"/>
  <c r="X34" i="2" s="1"/>
  <c r="AA34" i="2" s="1"/>
  <c r="AC34" i="2" s="1"/>
  <c r="AE34" i="2" s="1"/>
  <c r="AG34" i="2" s="1"/>
  <c r="AK34" i="2" s="1"/>
  <c r="F33" i="2"/>
  <c r="I33" i="2" s="1"/>
  <c r="M33" i="2" s="1"/>
  <c r="Q33" i="2" s="1"/>
  <c r="U33" i="2" s="1"/>
  <c r="X33" i="2" s="1"/>
  <c r="AA33" i="2" s="1"/>
  <c r="AC33" i="2" s="1"/>
  <c r="AE33" i="2" s="1"/>
  <c r="AG33" i="2" s="1"/>
  <c r="AK33" i="2" s="1"/>
  <c r="F32" i="2"/>
  <c r="I32" i="2" s="1"/>
  <c r="M32" i="2" s="1"/>
  <c r="Q32" i="2" s="1"/>
  <c r="U32" i="2" s="1"/>
  <c r="X32" i="2" s="1"/>
  <c r="AA32" i="2" s="1"/>
  <c r="AC32" i="2" s="1"/>
  <c r="AE32" i="2" s="1"/>
  <c r="AG32" i="2" s="1"/>
  <c r="AK32" i="2" s="1"/>
  <c r="F31" i="2"/>
  <c r="G31" i="2" s="1"/>
  <c r="H31" i="2" s="1"/>
  <c r="I31" i="2" s="1"/>
  <c r="F30" i="2"/>
  <c r="I30" i="2" s="1"/>
  <c r="M30" i="2" s="1"/>
  <c r="Q30" i="2" s="1"/>
  <c r="U30" i="2" s="1"/>
  <c r="X30" i="2" s="1"/>
  <c r="AA30" i="2" s="1"/>
  <c r="AC30" i="2" s="1"/>
  <c r="AE30" i="2" s="1"/>
  <c r="AG30" i="2" s="1"/>
  <c r="AK30" i="2" s="1"/>
  <c r="F28" i="2"/>
  <c r="I28" i="2" s="1"/>
  <c r="M28" i="2" s="1"/>
  <c r="Q28" i="2" s="1"/>
  <c r="U28" i="2" s="1"/>
  <c r="X28" i="2" s="1"/>
  <c r="AA28" i="2" s="1"/>
  <c r="AC28" i="2" s="1"/>
  <c r="AE28" i="2" s="1"/>
  <c r="AG28" i="2" s="1"/>
  <c r="AK28" i="2" s="1"/>
  <c r="F27" i="2"/>
  <c r="I27" i="2" s="1"/>
  <c r="M27" i="2" s="1"/>
  <c r="Q27" i="2" s="1"/>
  <c r="U27" i="2" s="1"/>
  <c r="X27" i="2" s="1"/>
  <c r="AA27" i="2" s="1"/>
  <c r="AC27" i="2" s="1"/>
  <c r="AE27" i="2" s="1"/>
  <c r="AG27" i="2" s="1"/>
  <c r="AK27" i="2" s="1"/>
  <c r="F26" i="2"/>
  <c r="I26" i="2" s="1"/>
  <c r="M26" i="2" s="1"/>
  <c r="Q26" i="2" s="1"/>
  <c r="U26" i="2" s="1"/>
  <c r="X26" i="2" s="1"/>
  <c r="AA26" i="2" s="1"/>
  <c r="AC26" i="2" s="1"/>
  <c r="AE26" i="2" s="1"/>
  <c r="AG26" i="2" s="1"/>
  <c r="AK26" i="2" s="1"/>
  <c r="F25" i="2"/>
  <c r="I25" i="2" s="1"/>
  <c r="M25" i="2" s="1"/>
  <c r="Q25" i="2" s="1"/>
  <c r="U25" i="2" s="1"/>
  <c r="X25" i="2" s="1"/>
  <c r="AA25" i="2" s="1"/>
  <c r="AC25" i="2" s="1"/>
  <c r="AE25" i="2" s="1"/>
  <c r="AG25" i="2" s="1"/>
  <c r="AK25" i="2" s="1"/>
  <c r="F24" i="2"/>
  <c r="I24" i="2" s="1"/>
  <c r="M24" i="2" s="1"/>
  <c r="Q24" i="2" s="1"/>
  <c r="U24" i="2" s="1"/>
  <c r="X24" i="2" s="1"/>
  <c r="AA24" i="2" s="1"/>
  <c r="AC24" i="2" s="1"/>
  <c r="AE24" i="2" s="1"/>
  <c r="AG24" i="2" s="1"/>
  <c r="AK24" i="2" s="1"/>
  <c r="F22" i="2"/>
  <c r="I22" i="2" s="1"/>
  <c r="M22" i="2" s="1"/>
  <c r="Q22" i="2" s="1"/>
  <c r="U22" i="2" s="1"/>
  <c r="X22" i="2" s="1"/>
  <c r="AA22" i="2" s="1"/>
  <c r="AC22" i="2" s="1"/>
  <c r="AE22" i="2" s="1"/>
  <c r="AG22" i="2" s="1"/>
  <c r="AK22" i="2" s="1"/>
  <c r="F21" i="2"/>
  <c r="I21" i="2" s="1"/>
  <c r="M21" i="2" s="1"/>
  <c r="Q21" i="2" s="1"/>
  <c r="U21" i="2" s="1"/>
  <c r="X21" i="2" s="1"/>
  <c r="AA21" i="2" s="1"/>
  <c r="AC21" i="2" s="1"/>
  <c r="AD21" i="2" s="1"/>
  <c r="AE21" i="2" s="1"/>
  <c r="AF21" i="2" s="1"/>
  <c r="F20" i="2"/>
  <c r="I20" i="2" s="1"/>
  <c r="M20" i="2" s="1"/>
  <c r="Q20" i="2" s="1"/>
  <c r="U20" i="2" s="1"/>
  <c r="X20" i="2" s="1"/>
  <c r="AA20" i="2" s="1"/>
  <c r="AC20" i="2" s="1"/>
  <c r="AE20" i="2" s="1"/>
  <c r="AG20" i="2" s="1"/>
  <c r="AK20" i="2" s="1"/>
  <c r="F19" i="2"/>
  <c r="I19" i="2" s="1"/>
  <c r="M19" i="2" s="1"/>
  <c r="Q19" i="2" s="1"/>
  <c r="U19" i="2" s="1"/>
  <c r="X19" i="2" s="1"/>
  <c r="AA19" i="2" s="1"/>
  <c r="AC19" i="2" s="1"/>
  <c r="AE19" i="2" s="1"/>
  <c r="AG19" i="2" s="1"/>
  <c r="AK19" i="2" s="1"/>
  <c r="F18" i="2"/>
  <c r="I18" i="2" s="1"/>
  <c r="M18" i="2" s="1"/>
  <c r="Q18" i="2" s="1"/>
  <c r="U18" i="2" s="1"/>
  <c r="X18" i="2" s="1"/>
  <c r="AA18" i="2" s="1"/>
  <c r="AC18" i="2" s="1"/>
  <c r="AE18" i="2" s="1"/>
  <c r="AG18" i="2" s="1"/>
  <c r="AK18" i="2" s="1"/>
  <c r="F17" i="2"/>
  <c r="I17" i="2" s="1"/>
  <c r="M17" i="2" s="1"/>
  <c r="Q17" i="2" s="1"/>
  <c r="U17" i="2" s="1"/>
  <c r="X17" i="2" s="1"/>
  <c r="AA17" i="2" s="1"/>
  <c r="AC17" i="2" s="1"/>
  <c r="AE17" i="2" s="1"/>
  <c r="AG17" i="2" s="1"/>
  <c r="AK17" i="2" s="1"/>
  <c r="F16" i="2"/>
  <c r="I16" i="2" l="1"/>
  <c r="M16" i="2" s="1"/>
  <c r="Q16" i="2" s="1"/>
  <c r="U16" i="2" s="1"/>
  <c r="X16" i="2" s="1"/>
  <c r="AA16" i="2" s="1"/>
  <c r="AC16" i="2" s="1"/>
  <c r="AE16" i="2" s="1"/>
  <c r="AG16" i="2" s="1"/>
  <c r="AK16" i="2" s="1"/>
  <c r="AG21" i="2"/>
  <c r="AK21" i="2" s="1"/>
  <c r="AL21" i="2" s="1"/>
  <c r="AM21" i="2" s="1"/>
  <c r="M31" i="2"/>
  <c r="Q31" i="2" s="1"/>
  <c r="R31" i="2" l="1"/>
  <c r="S31" i="2" s="1"/>
  <c r="U31" i="2" s="1"/>
  <c r="X31" i="2" s="1"/>
  <c r="Y31" i="2" l="1"/>
  <c r="Z31" i="2" s="1"/>
  <c r="AA31" i="2" s="1"/>
  <c r="AC31" i="2" s="1"/>
  <c r="AE31" i="2" s="1"/>
  <c r="AG31" i="2" l="1"/>
  <c r="AH31" i="2" s="1"/>
  <c r="AI31" i="2" s="1"/>
  <c r="AK31" i="2" s="1"/>
  <c r="D32" i="9" l="1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E47" i="10"/>
  <c r="G31" i="10"/>
  <c r="G14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E4" i="10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F47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AL7" i="9"/>
  <c r="AK7" i="9"/>
  <c r="AJ7" i="9"/>
  <c r="AI7" i="9"/>
  <c r="AH7" i="9"/>
  <c r="AG7" i="9"/>
  <c r="AF7" i="9"/>
  <c r="AE7" i="9"/>
  <c r="AD7" i="9"/>
  <c r="AC7" i="9"/>
  <c r="AB7" i="9"/>
  <c r="AA7" i="9"/>
  <c r="AA12" i="9" s="1"/>
  <c r="Z7" i="9"/>
  <c r="Y7" i="9"/>
  <c r="X7" i="9"/>
  <c r="W7" i="9"/>
  <c r="V7" i="9"/>
  <c r="U7" i="9"/>
  <c r="T7" i="9"/>
  <c r="S7" i="9"/>
  <c r="S12" i="9" s="1"/>
  <c r="R7" i="9"/>
  <c r="Q7" i="9"/>
  <c r="P7" i="9"/>
  <c r="O7" i="9"/>
  <c r="N7" i="9"/>
  <c r="M7" i="9"/>
  <c r="L7" i="9"/>
  <c r="K7" i="9"/>
  <c r="K12" i="9" s="1"/>
  <c r="J7" i="9"/>
  <c r="I7" i="9"/>
  <c r="H7" i="9"/>
  <c r="G7" i="9"/>
  <c r="F7" i="9"/>
  <c r="E7" i="9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AJ4" i="9" s="1"/>
  <c r="AK4" i="9" s="1"/>
  <c r="AL4" i="9" s="1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E47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E11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E4" i="8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J25" i="7"/>
  <c r="E4" i="7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E47" i="2"/>
  <c r="F6" i="2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E47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E4" i="6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E47" i="5"/>
  <c r="G31" i="5"/>
  <c r="H31" i="5" s="1"/>
  <c r="I31" i="5" s="1"/>
  <c r="F20" i="5"/>
  <c r="G20" i="5" s="1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AL7" i="5"/>
  <c r="AK7" i="5"/>
  <c r="AJ7" i="5"/>
  <c r="AI7" i="5"/>
  <c r="AH7" i="5"/>
  <c r="AG7" i="5"/>
  <c r="AF7" i="5"/>
  <c r="AF12" i="5" s="1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P12" i="5" s="1"/>
  <c r="O7" i="5"/>
  <c r="N7" i="5"/>
  <c r="M7" i="5"/>
  <c r="L7" i="5"/>
  <c r="K7" i="5"/>
  <c r="J7" i="5"/>
  <c r="I7" i="5"/>
  <c r="H7" i="5"/>
  <c r="G7" i="5"/>
  <c r="F7" i="5"/>
  <c r="E7" i="5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D34" i="4"/>
  <c r="F34" i="4" s="1"/>
  <c r="O34" i="4" s="1"/>
  <c r="V34" i="4" s="1"/>
  <c r="AC34" i="4" s="1"/>
  <c r="AD34" i="4" s="1"/>
  <c r="AI34" i="4" s="1"/>
  <c r="D32" i="4"/>
  <c r="F32" i="4" s="1"/>
  <c r="O32" i="4" s="1"/>
  <c r="V32" i="4" s="1"/>
  <c r="AC32" i="4" s="1"/>
  <c r="AD32" i="4" s="1"/>
  <c r="AI32" i="4" s="1"/>
  <c r="D33" i="4"/>
  <c r="F33" i="4" s="1"/>
  <c r="O33" i="4" s="1"/>
  <c r="V33" i="4" s="1"/>
  <c r="AC33" i="4" s="1"/>
  <c r="AD33" i="4" s="1"/>
  <c r="AI33" i="4" s="1"/>
  <c r="O51" i="4"/>
  <c r="N51" i="4"/>
  <c r="M51" i="4"/>
  <c r="L51" i="4"/>
  <c r="K51" i="4"/>
  <c r="J51" i="4"/>
  <c r="I51" i="4"/>
  <c r="H51" i="4"/>
  <c r="G51" i="4"/>
  <c r="F51" i="4"/>
  <c r="E51" i="4"/>
  <c r="F31" i="4"/>
  <c r="T12" i="5" l="1"/>
  <c r="X12" i="5"/>
  <c r="H12" i="5"/>
  <c r="AJ12" i="5"/>
  <c r="G16" i="5"/>
  <c r="J12" i="5"/>
  <c r="R12" i="5"/>
  <c r="Z12" i="5"/>
  <c r="AH12" i="5"/>
  <c r="E52" i="5"/>
  <c r="H28" i="6"/>
  <c r="F16" i="8"/>
  <c r="G32" i="8"/>
  <c r="Q32" i="8" s="1"/>
  <c r="X32" i="8" s="1"/>
  <c r="AE32" i="8" s="1"/>
  <c r="AH32" i="8" s="1"/>
  <c r="AL32" i="8" s="1"/>
  <c r="J16" i="9"/>
  <c r="F15" i="2"/>
  <c r="I15" i="2" s="1"/>
  <c r="G17" i="8"/>
  <c r="G17" i="9"/>
  <c r="F16" i="10"/>
  <c r="J32" i="10"/>
  <c r="R12" i="6"/>
  <c r="G16" i="6"/>
  <c r="F31" i="6"/>
  <c r="AI12" i="9"/>
  <c r="K12" i="10"/>
  <c r="S12" i="10"/>
  <c r="AA12" i="10"/>
  <c r="AI12" i="10"/>
  <c r="S17" i="10"/>
  <c r="L28" i="5"/>
  <c r="M28" i="5" s="1"/>
  <c r="N28" i="5" s="1"/>
  <c r="M28" i="8"/>
  <c r="H39" i="8"/>
  <c r="N12" i="9"/>
  <c r="AD12" i="9"/>
  <c r="F17" i="6"/>
  <c r="I17" i="6" s="1"/>
  <c r="R17" i="6" s="1"/>
  <c r="W17" i="6" s="1"/>
  <c r="X17" i="6" s="1"/>
  <c r="AB17" i="6" s="1"/>
  <c r="AC17" i="6" s="1"/>
  <c r="AH17" i="6" s="1"/>
  <c r="AM17" i="6" s="1"/>
  <c r="K17" i="7"/>
  <c r="H28" i="4"/>
  <c r="O28" i="4" s="1"/>
  <c r="F17" i="4"/>
  <c r="E7" i="7"/>
  <c r="F6" i="7"/>
  <c r="M39" i="10"/>
  <c r="P39" i="10" s="1"/>
  <c r="H32" i="6"/>
  <c r="H17" i="5"/>
  <c r="I17" i="5" s="1"/>
  <c r="R17" i="5" s="1"/>
  <c r="S17" i="5" s="1"/>
  <c r="AB17" i="5" s="1"/>
  <c r="AC17" i="5" s="1"/>
  <c r="AH17" i="5" s="1"/>
  <c r="J21" i="7"/>
  <c r="AF40" i="10"/>
  <c r="L33" i="10"/>
  <c r="T33" i="10" s="1"/>
  <c r="Y33" i="10" s="1"/>
  <c r="F31" i="7"/>
  <c r="L31" i="7" s="1"/>
  <c r="I27" i="7"/>
  <c r="F16" i="7"/>
  <c r="E29" i="8"/>
  <c r="E11" i="7"/>
  <c r="E29" i="6"/>
  <c r="G12" i="9"/>
  <c r="W12" i="9"/>
  <c r="AE12" i="10"/>
  <c r="F52" i="9"/>
  <c r="J12" i="10"/>
  <c r="Z12" i="10"/>
  <c r="L12" i="6"/>
  <c r="T12" i="6"/>
  <c r="AB12" i="6"/>
  <c r="AJ12" i="6"/>
  <c r="AF12" i="10"/>
  <c r="E52" i="8"/>
  <c r="Y12" i="9"/>
  <c r="L12" i="9"/>
  <c r="AB12" i="9"/>
  <c r="AG12" i="6"/>
  <c r="E12" i="9"/>
  <c r="M12" i="9"/>
  <c r="U12" i="9"/>
  <c r="AC12" i="9"/>
  <c r="AK12" i="9"/>
  <c r="E29" i="9"/>
  <c r="E47" i="4"/>
  <c r="E52" i="4" s="1"/>
  <c r="E12" i="5"/>
  <c r="M12" i="5"/>
  <c r="U12" i="5"/>
  <c r="AC12" i="5"/>
  <c r="AK12" i="5"/>
  <c r="S12" i="5"/>
  <c r="AI12" i="5"/>
  <c r="I12" i="6"/>
  <c r="Q12" i="6"/>
  <c r="Y12" i="6"/>
  <c r="E12" i="8"/>
  <c r="E47" i="9"/>
  <c r="E52" i="9" s="1"/>
  <c r="I12" i="10"/>
  <c r="Y12" i="10"/>
  <c r="O12" i="10"/>
  <c r="P12" i="10"/>
  <c r="J12" i="6"/>
  <c r="Z12" i="6"/>
  <c r="AH12" i="6"/>
  <c r="I12" i="5"/>
  <c r="Q12" i="5"/>
  <c r="Y12" i="5"/>
  <c r="AG12" i="5"/>
  <c r="E12" i="6"/>
  <c r="M12" i="6"/>
  <c r="U12" i="6"/>
  <c r="AC12" i="6"/>
  <c r="AK12" i="6"/>
  <c r="S12" i="6"/>
  <c r="AI12" i="6"/>
  <c r="E11" i="2"/>
  <c r="F11" i="8"/>
  <c r="F12" i="8" s="1"/>
  <c r="F12" i="6"/>
  <c r="N12" i="6"/>
  <c r="V12" i="6"/>
  <c r="AD12" i="6"/>
  <c r="AL12" i="6"/>
  <c r="H12" i="9"/>
  <c r="X12" i="9"/>
  <c r="E23" i="10"/>
  <c r="I12" i="9"/>
  <c r="E29" i="10"/>
  <c r="J12" i="9"/>
  <c r="R12" i="9"/>
  <c r="Z12" i="9"/>
  <c r="AH12" i="9"/>
  <c r="P12" i="9"/>
  <c r="AF12" i="9"/>
  <c r="E23" i="5"/>
  <c r="E7" i="2"/>
  <c r="Q12" i="10"/>
  <c r="AG12" i="10"/>
  <c r="K12" i="5"/>
  <c r="AA12" i="5"/>
  <c r="F47" i="5"/>
  <c r="F52" i="5" s="1"/>
  <c r="G12" i="6"/>
  <c r="O12" i="6"/>
  <c r="W12" i="6"/>
  <c r="AE12" i="6"/>
  <c r="L12" i="10"/>
  <c r="T12" i="10"/>
  <c r="AB12" i="10"/>
  <c r="AJ12" i="10"/>
  <c r="R12" i="10"/>
  <c r="AH12" i="10"/>
  <c r="F29" i="10"/>
  <c r="E52" i="10"/>
  <c r="F23" i="6"/>
  <c r="E23" i="4"/>
  <c r="E29" i="5"/>
  <c r="L12" i="5"/>
  <c r="AB12" i="5"/>
  <c r="H12" i="6"/>
  <c r="P12" i="6"/>
  <c r="X12" i="6"/>
  <c r="AF12" i="6"/>
  <c r="E52" i="6"/>
  <c r="F12" i="9"/>
  <c r="V12" i="9"/>
  <c r="AL12" i="9"/>
  <c r="T12" i="9"/>
  <c r="AJ12" i="9"/>
  <c r="E12" i="10"/>
  <c r="M12" i="10"/>
  <c r="U12" i="10"/>
  <c r="AC12" i="10"/>
  <c r="AK12" i="10"/>
  <c r="F47" i="10"/>
  <c r="F52" i="10" s="1"/>
  <c r="F12" i="10"/>
  <c r="N12" i="10"/>
  <c r="V12" i="10"/>
  <c r="AD12" i="10"/>
  <c r="AL12" i="10"/>
  <c r="F12" i="5"/>
  <c r="N12" i="5"/>
  <c r="V12" i="5"/>
  <c r="AD12" i="5"/>
  <c r="AL12" i="5"/>
  <c r="G12" i="10"/>
  <c r="W12" i="10"/>
  <c r="G12" i="5"/>
  <c r="O12" i="5"/>
  <c r="W12" i="5"/>
  <c r="AE12" i="5"/>
  <c r="K12" i="6"/>
  <c r="AA12" i="6"/>
  <c r="E43" i="7"/>
  <c r="F47" i="8"/>
  <c r="F52" i="8" s="1"/>
  <c r="Q12" i="9"/>
  <c r="AG12" i="9"/>
  <c r="O12" i="9"/>
  <c r="AE12" i="9"/>
  <c r="H12" i="10"/>
  <c r="X12" i="10"/>
  <c r="E43" i="8"/>
  <c r="E36" i="7"/>
  <c r="F36" i="10"/>
  <c r="E43" i="10"/>
  <c r="E36" i="10"/>
  <c r="F23" i="9"/>
  <c r="H31" i="9"/>
  <c r="F36" i="9"/>
  <c r="E23" i="9"/>
  <c r="E43" i="9"/>
  <c r="E44" i="9" s="1"/>
  <c r="F43" i="9"/>
  <c r="E36" i="9"/>
  <c r="F36" i="8"/>
  <c r="E36" i="8"/>
  <c r="F23" i="7"/>
  <c r="F11" i="7"/>
  <c r="F29" i="7"/>
  <c r="F47" i="7"/>
  <c r="E29" i="7"/>
  <c r="E23" i="7"/>
  <c r="E47" i="7"/>
  <c r="E51" i="7"/>
  <c r="E36" i="2"/>
  <c r="F29" i="2"/>
  <c r="F23" i="2"/>
  <c r="F7" i="2"/>
  <c r="H6" i="2"/>
  <c r="H23" i="2"/>
  <c r="E23" i="2"/>
  <c r="E43" i="2"/>
  <c r="G23" i="2"/>
  <c r="E29" i="2"/>
  <c r="E51" i="2"/>
  <c r="E52" i="2" s="1"/>
  <c r="E23" i="6"/>
  <c r="E43" i="6"/>
  <c r="E36" i="6"/>
  <c r="F36" i="5"/>
  <c r="E43" i="5"/>
  <c r="E44" i="5" s="1"/>
  <c r="E36" i="5"/>
  <c r="E43" i="4"/>
  <c r="F29" i="4"/>
  <c r="G47" i="4"/>
  <c r="G52" i="4" s="1"/>
  <c r="F36" i="4"/>
  <c r="E36" i="4"/>
  <c r="E29" i="4"/>
  <c r="F47" i="4"/>
  <c r="F52" i="4" s="1"/>
  <c r="D51" i="10"/>
  <c r="D47" i="10"/>
  <c r="D43" i="10"/>
  <c r="D42" i="10"/>
  <c r="D36" i="10"/>
  <c r="D29" i="10"/>
  <c r="D23" i="10"/>
  <c r="D11" i="10"/>
  <c r="D7" i="10"/>
  <c r="AM4" i="10"/>
  <c r="D51" i="9"/>
  <c r="D47" i="9"/>
  <c r="D43" i="9"/>
  <c r="D42" i="9"/>
  <c r="D36" i="9"/>
  <c r="D29" i="9"/>
  <c r="D23" i="9"/>
  <c r="D11" i="9"/>
  <c r="D7" i="9"/>
  <c r="AM4" i="9"/>
  <c r="D51" i="8"/>
  <c r="D47" i="8"/>
  <c r="D43" i="8"/>
  <c r="D42" i="8"/>
  <c r="D36" i="8"/>
  <c r="D29" i="8"/>
  <c r="D23" i="8"/>
  <c r="D11" i="8"/>
  <c r="D7" i="8"/>
  <c r="AM4" i="8"/>
  <c r="D51" i="7"/>
  <c r="D47" i="7"/>
  <c r="D43" i="7"/>
  <c r="D42" i="7"/>
  <c r="D36" i="7"/>
  <c r="D29" i="7"/>
  <c r="D23" i="7"/>
  <c r="D11" i="7"/>
  <c r="D7" i="7"/>
  <c r="AM4" i="7"/>
  <c r="D47" i="6"/>
  <c r="D47" i="5"/>
  <c r="D47" i="2"/>
  <c r="D47" i="4"/>
  <c r="D51" i="6"/>
  <c r="D43" i="6"/>
  <c r="D42" i="6"/>
  <c r="D36" i="6"/>
  <c r="D29" i="6"/>
  <c r="D23" i="6"/>
  <c r="D11" i="6"/>
  <c r="D7" i="6"/>
  <c r="AM4" i="6"/>
  <c r="D51" i="5"/>
  <c r="D43" i="5"/>
  <c r="D42" i="5"/>
  <c r="D36" i="5"/>
  <c r="D29" i="5"/>
  <c r="D23" i="5"/>
  <c r="D11" i="5"/>
  <c r="D7" i="5"/>
  <c r="AM4" i="5"/>
  <c r="P51" i="4"/>
  <c r="D51" i="4"/>
  <c r="Q51" i="4"/>
  <c r="D43" i="4"/>
  <c r="D42" i="4"/>
  <c r="D36" i="4"/>
  <c r="D29" i="4"/>
  <c r="D23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Q11" i="4"/>
  <c r="O7" i="4"/>
  <c r="N7" i="4"/>
  <c r="M7" i="4"/>
  <c r="L7" i="4"/>
  <c r="K7" i="4"/>
  <c r="J7" i="4"/>
  <c r="I7" i="4"/>
  <c r="H7" i="4"/>
  <c r="G7" i="4"/>
  <c r="F7" i="4"/>
  <c r="E7" i="4"/>
  <c r="D7" i="4"/>
  <c r="P7" i="4"/>
  <c r="E4" i="4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M4" i="2"/>
  <c r="D7" i="2"/>
  <c r="D11" i="2"/>
  <c r="D23" i="2"/>
  <c r="D29" i="2"/>
  <c r="D36" i="2"/>
  <c r="D42" i="2"/>
  <c r="D43" i="2"/>
  <c r="D51" i="2"/>
  <c r="E44" i="10" l="1"/>
  <c r="E53" i="10" s="1"/>
  <c r="E53" i="5"/>
  <c r="F36" i="7"/>
  <c r="G36" i="8"/>
  <c r="P12" i="4"/>
  <c r="E12" i="7"/>
  <c r="N16" i="6"/>
  <c r="O16" i="5"/>
  <c r="AK40" i="10"/>
  <c r="Q17" i="7"/>
  <c r="T28" i="8"/>
  <c r="S32" i="10"/>
  <c r="Q28" i="6"/>
  <c r="J33" i="6"/>
  <c r="O33" i="6" s="1"/>
  <c r="T33" i="6" s="1"/>
  <c r="X33" i="6" s="1"/>
  <c r="Q21" i="7"/>
  <c r="R21" i="7" s="1"/>
  <c r="Y28" i="5"/>
  <c r="Z28" i="5" s="1"/>
  <c r="N16" i="10"/>
  <c r="W16" i="9"/>
  <c r="D12" i="10"/>
  <c r="E12" i="2"/>
  <c r="J17" i="4"/>
  <c r="K17" i="4" s="1"/>
  <c r="AF17" i="10"/>
  <c r="R17" i="9"/>
  <c r="E44" i="7"/>
  <c r="M32" i="6"/>
  <c r="O39" i="8"/>
  <c r="N17" i="8"/>
  <c r="M16" i="8"/>
  <c r="N16" i="8" s="1"/>
  <c r="T28" i="4"/>
  <c r="P27" i="7"/>
  <c r="J16" i="7"/>
  <c r="K16" i="7" s="1"/>
  <c r="E44" i="8"/>
  <c r="E53" i="8" s="1"/>
  <c r="M15" i="2"/>
  <c r="F43" i="5"/>
  <c r="F44" i="5" s="1"/>
  <c r="F53" i="5" s="1"/>
  <c r="E44" i="6"/>
  <c r="E53" i="6" s="1"/>
  <c r="G11" i="8"/>
  <c r="G12" i="8" s="1"/>
  <c r="G47" i="8"/>
  <c r="G52" i="8" s="1"/>
  <c r="D52" i="5"/>
  <c r="F44" i="9"/>
  <c r="F53" i="9" s="1"/>
  <c r="E53" i="9"/>
  <c r="D52" i="6"/>
  <c r="D52" i="4"/>
  <c r="D12" i="4"/>
  <c r="D44" i="4" s="1"/>
  <c r="L12" i="4"/>
  <c r="F36" i="6"/>
  <c r="E12" i="4"/>
  <c r="E44" i="4" s="1"/>
  <c r="E53" i="4" s="1"/>
  <c r="D52" i="7"/>
  <c r="F43" i="6"/>
  <c r="F44" i="6" s="1"/>
  <c r="I12" i="4"/>
  <c r="G47" i="10"/>
  <c r="G52" i="10" s="1"/>
  <c r="G29" i="10"/>
  <c r="F23" i="10"/>
  <c r="G43" i="10"/>
  <c r="G44" i="10" s="1"/>
  <c r="F43" i="10"/>
  <c r="F44" i="10" s="1"/>
  <c r="F53" i="10" s="1"/>
  <c r="G36" i="10"/>
  <c r="G47" i="9"/>
  <c r="G52" i="9" s="1"/>
  <c r="F29" i="9"/>
  <c r="G36" i="9"/>
  <c r="G23" i="9"/>
  <c r="F29" i="8"/>
  <c r="G43" i="8"/>
  <c r="D12" i="8"/>
  <c r="D44" i="8" s="1"/>
  <c r="J31" i="8"/>
  <c r="H36" i="8"/>
  <c r="F43" i="8"/>
  <c r="F44" i="8" s="1"/>
  <c r="F53" i="8" s="1"/>
  <c r="F7" i="7"/>
  <c r="F12" i="7" s="1"/>
  <c r="F43" i="7"/>
  <c r="F51" i="7"/>
  <c r="F52" i="7" s="1"/>
  <c r="G36" i="7"/>
  <c r="D12" i="7"/>
  <c r="D44" i="7" s="1"/>
  <c r="E52" i="7"/>
  <c r="E53" i="7" s="1"/>
  <c r="G47" i="7"/>
  <c r="G29" i="7"/>
  <c r="G11" i="7"/>
  <c r="G23" i="7"/>
  <c r="F36" i="2"/>
  <c r="F11" i="2"/>
  <c r="F12" i="2" s="1"/>
  <c r="F47" i="2"/>
  <c r="E44" i="2"/>
  <c r="E53" i="2" s="1"/>
  <c r="I23" i="2"/>
  <c r="F43" i="2"/>
  <c r="G7" i="2"/>
  <c r="F51" i="2"/>
  <c r="G29" i="2"/>
  <c r="G23" i="6"/>
  <c r="F29" i="6"/>
  <c r="F47" i="6"/>
  <c r="F52" i="6" s="1"/>
  <c r="G36" i="6"/>
  <c r="H36" i="6"/>
  <c r="F23" i="5"/>
  <c r="G47" i="5"/>
  <c r="G52" i="5" s="1"/>
  <c r="F29" i="5"/>
  <c r="G36" i="5"/>
  <c r="G43" i="4"/>
  <c r="F23" i="4"/>
  <c r="G36" i="4"/>
  <c r="H47" i="4"/>
  <c r="H52" i="4" s="1"/>
  <c r="G29" i="4"/>
  <c r="F43" i="4"/>
  <c r="D52" i="8"/>
  <c r="D52" i="9"/>
  <c r="D52" i="10"/>
  <c r="D44" i="10"/>
  <c r="D12" i="9"/>
  <c r="D44" i="9" s="1"/>
  <c r="D12" i="6"/>
  <c r="D44" i="6" s="1"/>
  <c r="D12" i="5"/>
  <c r="D44" i="5" s="1"/>
  <c r="N12" i="4"/>
  <c r="M12" i="4"/>
  <c r="F12" i="4"/>
  <c r="G12" i="4"/>
  <c r="H12" i="4"/>
  <c r="J12" i="4"/>
  <c r="K12" i="4"/>
  <c r="O12" i="4"/>
  <c r="D52" i="2"/>
  <c r="D12" i="2"/>
  <c r="D44" i="2" s="1"/>
  <c r="D53" i="6" l="1"/>
  <c r="D53" i="7"/>
  <c r="Z28" i="6"/>
  <c r="AE16" i="9"/>
  <c r="AL16" i="9" s="1"/>
  <c r="Y32" i="10"/>
  <c r="R16" i="8"/>
  <c r="T32" i="6"/>
  <c r="W16" i="10"/>
  <c r="Y28" i="8"/>
  <c r="AF28" i="5"/>
  <c r="AK28" i="5" s="1"/>
  <c r="AL28" i="5" s="1"/>
  <c r="W17" i="7"/>
  <c r="AA28" i="4"/>
  <c r="AB17" i="9"/>
  <c r="U16" i="5"/>
  <c r="V16" i="5" s="1"/>
  <c r="Q17" i="4"/>
  <c r="R17" i="4" s="1"/>
  <c r="R16" i="6"/>
  <c r="S16" i="6" s="1"/>
  <c r="R17" i="8"/>
  <c r="V39" i="8"/>
  <c r="X21" i="7"/>
  <c r="V27" i="7"/>
  <c r="N16" i="7"/>
  <c r="O16" i="7" s="1"/>
  <c r="Q15" i="2"/>
  <c r="D53" i="5"/>
  <c r="D53" i="10"/>
  <c r="D53" i="4"/>
  <c r="G53" i="10"/>
  <c r="F44" i="4"/>
  <c r="F53" i="4" s="1"/>
  <c r="G44" i="4"/>
  <c r="G53" i="4" s="1"/>
  <c r="F53" i="6"/>
  <c r="D53" i="8"/>
  <c r="G44" i="8"/>
  <c r="G53" i="8" s="1"/>
  <c r="G23" i="10"/>
  <c r="H36" i="10"/>
  <c r="H29" i="10"/>
  <c r="H47" i="10"/>
  <c r="H52" i="10" s="1"/>
  <c r="H36" i="9"/>
  <c r="G29" i="9"/>
  <c r="G43" i="9"/>
  <c r="G44" i="9" s="1"/>
  <c r="G53" i="9" s="1"/>
  <c r="H23" i="9"/>
  <c r="D53" i="9"/>
  <c r="H47" i="9"/>
  <c r="H52" i="9" s="1"/>
  <c r="I36" i="8"/>
  <c r="H11" i="8"/>
  <c r="H12" i="8" s="1"/>
  <c r="G29" i="8"/>
  <c r="H43" i="8"/>
  <c r="H47" i="8"/>
  <c r="H52" i="8" s="1"/>
  <c r="H47" i="7"/>
  <c r="G43" i="7"/>
  <c r="G51" i="7"/>
  <c r="G52" i="7" s="1"/>
  <c r="H11" i="7"/>
  <c r="F44" i="7"/>
  <c r="F53" i="7" s="1"/>
  <c r="H36" i="7"/>
  <c r="H23" i="7"/>
  <c r="G7" i="7"/>
  <c r="G12" i="7" s="1"/>
  <c r="H29" i="7"/>
  <c r="F44" i="2"/>
  <c r="H7" i="2"/>
  <c r="G51" i="2"/>
  <c r="J23" i="2"/>
  <c r="G47" i="2"/>
  <c r="F52" i="2"/>
  <c r="H29" i="2"/>
  <c r="G11" i="2"/>
  <c r="G12" i="2" s="1"/>
  <c r="G43" i="2"/>
  <c r="G36" i="2"/>
  <c r="G47" i="6"/>
  <c r="G52" i="6" s="1"/>
  <c r="G29" i="6"/>
  <c r="H43" i="6"/>
  <c r="H44" i="6" s="1"/>
  <c r="G43" i="6"/>
  <c r="G44" i="6" s="1"/>
  <c r="H23" i="6"/>
  <c r="I36" i="6"/>
  <c r="G23" i="5"/>
  <c r="H36" i="5"/>
  <c r="G29" i="5"/>
  <c r="H47" i="5"/>
  <c r="H52" i="5" s="1"/>
  <c r="G43" i="5"/>
  <c r="G44" i="5" s="1"/>
  <c r="G53" i="5" s="1"/>
  <c r="H29" i="4"/>
  <c r="I47" i="4"/>
  <c r="I52" i="4" s="1"/>
  <c r="H36" i="4"/>
  <c r="G23" i="4"/>
  <c r="H43" i="4"/>
  <c r="H44" i="4" s="1"/>
  <c r="H53" i="4" s="1"/>
  <c r="D53" i="2"/>
  <c r="R11" i="4"/>
  <c r="R51" i="4"/>
  <c r="Q7" i="4"/>
  <c r="Q12" i="4" s="1"/>
  <c r="AB21" i="7" l="1"/>
  <c r="W16" i="6"/>
  <c r="X16" i="6" s="1"/>
  <c r="U17" i="4"/>
  <c r="AD28" i="8"/>
  <c r="AC16" i="10"/>
  <c r="AJ17" i="9"/>
  <c r="W32" i="6"/>
  <c r="V16" i="8"/>
  <c r="W16" i="8" s="1"/>
  <c r="AE28" i="4"/>
  <c r="AB17" i="7"/>
  <c r="Y17" i="8"/>
  <c r="AF28" i="6"/>
  <c r="AL28" i="6" s="1"/>
  <c r="AB39" i="8"/>
  <c r="Y16" i="5"/>
  <c r="Z16" i="5" s="1"/>
  <c r="Z27" i="7"/>
  <c r="R16" i="7"/>
  <c r="S16" i="7" s="1"/>
  <c r="U15" i="2"/>
  <c r="G52" i="2"/>
  <c r="G53" i="6"/>
  <c r="G44" i="7"/>
  <c r="G53" i="7" s="1"/>
  <c r="I36" i="10"/>
  <c r="I29" i="10"/>
  <c r="H23" i="10"/>
  <c r="H43" i="10"/>
  <c r="H44" i="10" s="1"/>
  <c r="H53" i="10" s="1"/>
  <c r="I47" i="10"/>
  <c r="I52" i="10" s="1"/>
  <c r="H29" i="9"/>
  <c r="H43" i="9"/>
  <c r="H44" i="9" s="1"/>
  <c r="H53" i="9" s="1"/>
  <c r="I47" i="9"/>
  <c r="I52" i="9" s="1"/>
  <c r="I23" i="9"/>
  <c r="I36" i="9"/>
  <c r="I43" i="9"/>
  <c r="I44" i="9" s="1"/>
  <c r="I11" i="8"/>
  <c r="I12" i="8" s="1"/>
  <c r="H44" i="8"/>
  <c r="H53" i="8" s="1"/>
  <c r="I47" i="8"/>
  <c r="I52" i="8" s="1"/>
  <c r="J36" i="8"/>
  <c r="H29" i="8"/>
  <c r="I43" i="8"/>
  <c r="H7" i="7"/>
  <c r="H12" i="7" s="1"/>
  <c r="H51" i="7"/>
  <c r="H52" i="7" s="1"/>
  <c r="H43" i="7"/>
  <c r="I11" i="7"/>
  <c r="I47" i="7"/>
  <c r="I23" i="7"/>
  <c r="I36" i="7"/>
  <c r="I29" i="7"/>
  <c r="G44" i="2"/>
  <c r="F53" i="2"/>
  <c r="H11" i="2"/>
  <c r="H12" i="2" s="1"/>
  <c r="K23" i="2"/>
  <c r="H36" i="2"/>
  <c r="I7" i="2"/>
  <c r="K6" i="2"/>
  <c r="H51" i="2"/>
  <c r="H43" i="2"/>
  <c r="I29" i="2"/>
  <c r="H47" i="2"/>
  <c r="H29" i="6"/>
  <c r="H47" i="6"/>
  <c r="H52" i="6" s="1"/>
  <c r="H53" i="6" s="1"/>
  <c r="J36" i="6"/>
  <c r="I23" i="6"/>
  <c r="I47" i="5"/>
  <c r="I52" i="5" s="1"/>
  <c r="H29" i="5"/>
  <c r="H43" i="5"/>
  <c r="H44" i="5" s="1"/>
  <c r="H53" i="5" s="1"/>
  <c r="I36" i="5"/>
  <c r="H23" i="5"/>
  <c r="I36" i="4"/>
  <c r="J47" i="4"/>
  <c r="J52" i="4" s="1"/>
  <c r="I43" i="4"/>
  <c r="I44" i="4" s="1"/>
  <c r="I53" i="4" s="1"/>
  <c r="H23" i="4"/>
  <c r="I29" i="4"/>
  <c r="R7" i="4"/>
  <c r="R12" i="4" s="1"/>
  <c r="S51" i="4"/>
  <c r="S11" i="4"/>
  <c r="AC16" i="8" l="1"/>
  <c r="AC16" i="5"/>
  <c r="AD16" i="5" s="1"/>
  <c r="AJ39" i="8"/>
  <c r="AH16" i="10"/>
  <c r="AL16" i="10" s="1"/>
  <c r="AC17" i="8"/>
  <c r="Y17" i="4"/>
  <c r="AJ28" i="8"/>
  <c r="AE17" i="7"/>
  <c r="AC16" i="6"/>
  <c r="AD16" i="6" s="1"/>
  <c r="AH28" i="4"/>
  <c r="AI28" i="4" s="1"/>
  <c r="AF21" i="7"/>
  <c r="U16" i="7"/>
  <c r="V16" i="7" s="1"/>
  <c r="X15" i="2"/>
  <c r="G53" i="2"/>
  <c r="I53" i="9"/>
  <c r="H52" i="2"/>
  <c r="J47" i="10"/>
  <c r="J52" i="10" s="1"/>
  <c r="I23" i="10"/>
  <c r="I43" i="10"/>
  <c r="I44" i="10" s="1"/>
  <c r="I53" i="10" s="1"/>
  <c r="J29" i="10"/>
  <c r="J36" i="10"/>
  <c r="I29" i="9"/>
  <c r="J43" i="9"/>
  <c r="J44" i="9" s="1"/>
  <c r="J36" i="9"/>
  <c r="J23" i="9"/>
  <c r="J47" i="9"/>
  <c r="J52" i="9" s="1"/>
  <c r="J47" i="8"/>
  <c r="J52" i="8" s="1"/>
  <c r="I29" i="8"/>
  <c r="J43" i="8"/>
  <c r="J11" i="8"/>
  <c r="J12" i="8" s="1"/>
  <c r="K36" i="8"/>
  <c r="I44" i="8"/>
  <c r="I53" i="8" s="1"/>
  <c r="J23" i="7"/>
  <c r="J36" i="7"/>
  <c r="J47" i="7"/>
  <c r="J11" i="7"/>
  <c r="I43" i="7"/>
  <c r="L28" i="7"/>
  <c r="J29" i="7"/>
  <c r="I7" i="7"/>
  <c r="I12" i="7" s="1"/>
  <c r="K6" i="7"/>
  <c r="I51" i="7"/>
  <c r="I52" i="7" s="1"/>
  <c r="H44" i="7"/>
  <c r="H53" i="7" s="1"/>
  <c r="I43" i="2"/>
  <c r="H44" i="2"/>
  <c r="J7" i="2"/>
  <c r="L23" i="2"/>
  <c r="J29" i="2"/>
  <c r="I51" i="2"/>
  <c r="I36" i="2"/>
  <c r="I47" i="2"/>
  <c r="I11" i="2"/>
  <c r="I12" i="2" s="1"/>
  <c r="I47" i="6"/>
  <c r="I52" i="6" s="1"/>
  <c r="I29" i="6"/>
  <c r="J43" i="6"/>
  <c r="J44" i="6" s="1"/>
  <c r="J23" i="6"/>
  <c r="K36" i="6"/>
  <c r="M31" i="6"/>
  <c r="I43" i="6"/>
  <c r="I44" i="6" s="1"/>
  <c r="I23" i="5"/>
  <c r="J47" i="5"/>
  <c r="J52" i="5" s="1"/>
  <c r="J36" i="5"/>
  <c r="I43" i="5"/>
  <c r="I44" i="5" s="1"/>
  <c r="I53" i="5" s="1"/>
  <c r="I29" i="5"/>
  <c r="J29" i="4"/>
  <c r="K47" i="4"/>
  <c r="K52" i="4" s="1"/>
  <c r="J36" i="4"/>
  <c r="I23" i="4"/>
  <c r="T11" i="4"/>
  <c r="T51" i="4"/>
  <c r="S7" i="4"/>
  <c r="S12" i="4" s="1"/>
  <c r="I53" i="6" l="1"/>
  <c r="AC17" i="4"/>
  <c r="AG17" i="8"/>
  <c r="AL17" i="8" s="1"/>
  <c r="AI21" i="7"/>
  <c r="AM21" i="7" s="1"/>
  <c r="AJ16" i="5"/>
  <c r="AG16" i="6"/>
  <c r="AH16" i="6" s="1"/>
  <c r="AL16" i="6" s="1"/>
  <c r="AG16" i="8"/>
  <c r="AM16" i="8" s="1"/>
  <c r="AH17" i="7"/>
  <c r="X16" i="7"/>
  <c r="Y16" i="7" s="1"/>
  <c r="AA15" i="2"/>
  <c r="I44" i="2"/>
  <c r="H53" i="2"/>
  <c r="J44" i="8"/>
  <c r="J53" i="8" s="1"/>
  <c r="J23" i="10"/>
  <c r="K43" i="10"/>
  <c r="K44" i="10" s="1"/>
  <c r="J43" i="10"/>
  <c r="J44" i="10" s="1"/>
  <c r="J53" i="10" s="1"/>
  <c r="N14" i="10"/>
  <c r="K36" i="10"/>
  <c r="M31" i="10"/>
  <c r="K47" i="10"/>
  <c r="K52" i="10" s="1"/>
  <c r="K29" i="10"/>
  <c r="K36" i="9"/>
  <c r="K47" i="9"/>
  <c r="K52" i="9" s="1"/>
  <c r="K23" i="9"/>
  <c r="J29" i="9"/>
  <c r="J53" i="9"/>
  <c r="K47" i="8"/>
  <c r="K52" i="8" s="1"/>
  <c r="L36" i="8"/>
  <c r="K11" i="8"/>
  <c r="K12" i="8" s="1"/>
  <c r="J29" i="8"/>
  <c r="K29" i="7"/>
  <c r="K11" i="7"/>
  <c r="J43" i="7"/>
  <c r="J7" i="7"/>
  <c r="J12" i="7" s="1"/>
  <c r="K36" i="7"/>
  <c r="I44" i="7"/>
  <c r="I53" i="7" s="1"/>
  <c r="K23" i="7"/>
  <c r="K47" i="7"/>
  <c r="J51" i="7"/>
  <c r="J52" i="7" s="1"/>
  <c r="J51" i="2"/>
  <c r="J36" i="2"/>
  <c r="K29" i="2"/>
  <c r="M23" i="2"/>
  <c r="K7" i="2"/>
  <c r="J47" i="2"/>
  <c r="J11" i="2"/>
  <c r="J12" i="2" s="1"/>
  <c r="I52" i="2"/>
  <c r="J43" i="2"/>
  <c r="J29" i="6"/>
  <c r="K43" i="6"/>
  <c r="K44" i="6" s="1"/>
  <c r="M14" i="6"/>
  <c r="N14" i="6" s="1"/>
  <c r="L36" i="6"/>
  <c r="K23" i="6"/>
  <c r="J47" i="6"/>
  <c r="J52" i="6" s="1"/>
  <c r="J53" i="6" s="1"/>
  <c r="K36" i="5"/>
  <c r="K47" i="5"/>
  <c r="K52" i="5" s="1"/>
  <c r="J23" i="5"/>
  <c r="J29" i="5"/>
  <c r="J43" i="5"/>
  <c r="J44" i="5" s="1"/>
  <c r="J53" i="5" s="1"/>
  <c r="J23" i="4"/>
  <c r="K36" i="4"/>
  <c r="K43" i="4"/>
  <c r="K44" i="4" s="1"/>
  <c r="K53" i="4" s="1"/>
  <c r="J43" i="4"/>
  <c r="J44" i="4" s="1"/>
  <c r="J53" i="4" s="1"/>
  <c r="L47" i="4"/>
  <c r="L52" i="4" s="1"/>
  <c r="K29" i="4"/>
  <c r="U11" i="4"/>
  <c r="U51" i="4"/>
  <c r="T7" i="4"/>
  <c r="T12" i="4" s="1"/>
  <c r="I53" i="2" l="1"/>
  <c r="AH17" i="4"/>
  <c r="AI17" i="4" s="1"/>
  <c r="AL17" i="4" s="1"/>
  <c r="AM17" i="4" s="1"/>
  <c r="AA16" i="7"/>
  <c r="AB16" i="7" s="1"/>
  <c r="K43" i="5"/>
  <c r="K44" i="5" s="1"/>
  <c r="K53" i="5" s="1"/>
  <c r="AC15" i="2"/>
  <c r="J52" i="2"/>
  <c r="K53" i="10"/>
  <c r="L29" i="10"/>
  <c r="L47" i="10"/>
  <c r="L52" i="10" s="1"/>
  <c r="K23" i="10"/>
  <c r="L36" i="10"/>
  <c r="L36" i="9"/>
  <c r="K29" i="9"/>
  <c r="K43" i="9"/>
  <c r="K44" i="9" s="1"/>
  <c r="K53" i="9" s="1"/>
  <c r="L47" i="9"/>
  <c r="L52" i="9" s="1"/>
  <c r="L23" i="9"/>
  <c r="L47" i="8"/>
  <c r="L52" i="8" s="1"/>
  <c r="K29" i="8"/>
  <c r="L43" i="8"/>
  <c r="L11" i="8"/>
  <c r="L12" i="8" s="1"/>
  <c r="M36" i="8"/>
  <c r="O31" i="8"/>
  <c r="K43" i="8"/>
  <c r="K44" i="8" s="1"/>
  <c r="K53" i="8" s="1"/>
  <c r="L36" i="7"/>
  <c r="K7" i="7"/>
  <c r="K12" i="7" s="1"/>
  <c r="K43" i="7"/>
  <c r="L11" i="7"/>
  <c r="J44" i="7"/>
  <c r="J53" i="7" s="1"/>
  <c r="L47" i="7"/>
  <c r="L23" i="7"/>
  <c r="K51" i="7"/>
  <c r="K52" i="7" s="1"/>
  <c r="L29" i="7"/>
  <c r="K47" i="2"/>
  <c r="K51" i="2"/>
  <c r="L7" i="2"/>
  <c r="N23" i="2"/>
  <c r="L29" i="2"/>
  <c r="K36" i="2"/>
  <c r="K43" i="2"/>
  <c r="J44" i="2"/>
  <c r="J53" i="2" s="1"/>
  <c r="K11" i="2"/>
  <c r="K12" i="2" s="1"/>
  <c r="K47" i="6"/>
  <c r="K52" i="6" s="1"/>
  <c r="K53" i="6" s="1"/>
  <c r="M36" i="6"/>
  <c r="K29" i="6"/>
  <c r="L43" i="6"/>
  <c r="L44" i="6" s="1"/>
  <c r="L23" i="6"/>
  <c r="K23" i="5"/>
  <c r="L36" i="5"/>
  <c r="K29" i="5"/>
  <c r="L47" i="5"/>
  <c r="L52" i="5" s="1"/>
  <c r="L36" i="4"/>
  <c r="M47" i="4"/>
  <c r="M52" i="4" s="1"/>
  <c r="L29" i="4"/>
  <c r="L43" i="4"/>
  <c r="L44" i="4" s="1"/>
  <c r="L53" i="4" s="1"/>
  <c r="K23" i="4"/>
  <c r="V51" i="4"/>
  <c r="V11" i="4"/>
  <c r="U7" i="4"/>
  <c r="U12" i="4" s="1"/>
  <c r="AD16" i="7" l="1"/>
  <c r="AE16" i="7" s="1"/>
  <c r="AE15" i="2"/>
  <c r="M36" i="10"/>
  <c r="M47" i="10"/>
  <c r="M52" i="10" s="1"/>
  <c r="M29" i="10"/>
  <c r="L23" i="10"/>
  <c r="M43" i="10"/>
  <c r="M44" i="10" s="1"/>
  <c r="M53" i="10" s="1"/>
  <c r="L43" i="10"/>
  <c r="L44" i="10" s="1"/>
  <c r="L53" i="10" s="1"/>
  <c r="M23" i="9"/>
  <c r="L29" i="9"/>
  <c r="M43" i="9"/>
  <c r="M44" i="9" s="1"/>
  <c r="L43" i="9"/>
  <c r="L44" i="9" s="1"/>
  <c r="L53" i="9" s="1"/>
  <c r="M47" i="9"/>
  <c r="M52" i="9" s="1"/>
  <c r="M36" i="9"/>
  <c r="N36" i="8"/>
  <c r="L29" i="8"/>
  <c r="M43" i="8"/>
  <c r="L44" i="8"/>
  <c r="L53" i="8" s="1"/>
  <c r="M47" i="8"/>
  <c r="M52" i="8" s="1"/>
  <c r="M11" i="8"/>
  <c r="M12" i="8" s="1"/>
  <c r="L43" i="7"/>
  <c r="L7" i="7"/>
  <c r="L12" i="7" s="1"/>
  <c r="M36" i="7"/>
  <c r="M47" i="7"/>
  <c r="M11" i="7"/>
  <c r="K44" i="7"/>
  <c r="K53" i="7" s="1"/>
  <c r="L51" i="7"/>
  <c r="L52" i="7" s="1"/>
  <c r="U31" i="7"/>
  <c r="M29" i="7"/>
  <c r="M23" i="7"/>
  <c r="K44" i="2"/>
  <c r="M29" i="2"/>
  <c r="L36" i="2"/>
  <c r="L51" i="2"/>
  <c r="L11" i="2"/>
  <c r="L12" i="2" s="1"/>
  <c r="K52" i="2"/>
  <c r="O23" i="2"/>
  <c r="M7" i="2"/>
  <c r="O6" i="2"/>
  <c r="L47" i="2"/>
  <c r="L43" i="2"/>
  <c r="L47" i="6"/>
  <c r="L52" i="6" s="1"/>
  <c r="L53" i="6" s="1"/>
  <c r="M23" i="6"/>
  <c r="L29" i="6"/>
  <c r="M43" i="6"/>
  <c r="M44" i="6" s="1"/>
  <c r="N36" i="6"/>
  <c r="L29" i="5"/>
  <c r="M47" i="5"/>
  <c r="M52" i="5" s="1"/>
  <c r="M36" i="5"/>
  <c r="L23" i="5"/>
  <c r="L43" i="5"/>
  <c r="L44" i="5" s="1"/>
  <c r="L53" i="5" s="1"/>
  <c r="N47" i="4"/>
  <c r="N52" i="4" s="1"/>
  <c r="M29" i="4"/>
  <c r="M36" i="4"/>
  <c r="O31" i="4"/>
  <c r="M43" i="4"/>
  <c r="M44" i="4" s="1"/>
  <c r="M53" i="4" s="1"/>
  <c r="L23" i="4"/>
  <c r="V7" i="4"/>
  <c r="V12" i="4" s="1"/>
  <c r="W11" i="4"/>
  <c r="W51" i="4"/>
  <c r="AI16" i="7" l="1"/>
  <c r="AM16" i="7" s="1"/>
  <c r="AG15" i="2"/>
  <c r="M53" i="9"/>
  <c r="K53" i="2"/>
  <c r="L44" i="2"/>
  <c r="M44" i="8"/>
  <c r="M53" i="8" s="1"/>
  <c r="L44" i="7"/>
  <c r="N29" i="10"/>
  <c r="N47" i="10"/>
  <c r="N52" i="10" s="1"/>
  <c r="N36" i="10"/>
  <c r="M23" i="10"/>
  <c r="N43" i="9"/>
  <c r="N44" i="9" s="1"/>
  <c r="M29" i="9"/>
  <c r="N36" i="9"/>
  <c r="N47" i="9"/>
  <c r="N52" i="9" s="1"/>
  <c r="N23" i="9"/>
  <c r="N11" i="8"/>
  <c r="N12" i="8" s="1"/>
  <c r="N47" i="8"/>
  <c r="N52" i="8" s="1"/>
  <c r="O36" i="8"/>
  <c r="M29" i="8"/>
  <c r="N47" i="7"/>
  <c r="N23" i="7"/>
  <c r="M7" i="7"/>
  <c r="M12" i="7" s="1"/>
  <c r="O6" i="7"/>
  <c r="M51" i="7"/>
  <c r="M52" i="7" s="1"/>
  <c r="N11" i="7"/>
  <c r="N36" i="7"/>
  <c r="L53" i="7"/>
  <c r="N29" i="7"/>
  <c r="M43" i="7"/>
  <c r="M11" i="2"/>
  <c r="M12" i="2" s="1"/>
  <c r="M36" i="2"/>
  <c r="M47" i="2"/>
  <c r="L52" i="2"/>
  <c r="N29" i="2"/>
  <c r="P23" i="2"/>
  <c r="M51" i="2"/>
  <c r="M43" i="2"/>
  <c r="N7" i="2"/>
  <c r="N23" i="6"/>
  <c r="M47" i="6"/>
  <c r="M52" i="6" s="1"/>
  <c r="M53" i="6" s="1"/>
  <c r="M29" i="6"/>
  <c r="O36" i="6"/>
  <c r="M23" i="5"/>
  <c r="N36" i="5"/>
  <c r="M29" i="5"/>
  <c r="N47" i="5"/>
  <c r="N52" i="5" s="1"/>
  <c r="M43" i="5"/>
  <c r="M44" i="5" s="1"/>
  <c r="M53" i="5" s="1"/>
  <c r="N36" i="4"/>
  <c r="O47" i="4"/>
  <c r="O52" i="4" s="1"/>
  <c r="N43" i="4"/>
  <c r="N44" i="4" s="1"/>
  <c r="N53" i="4" s="1"/>
  <c r="M23" i="4"/>
  <c r="N29" i="4"/>
  <c r="X11" i="4"/>
  <c r="W7" i="4"/>
  <c r="W12" i="4" s="1"/>
  <c r="X51" i="4"/>
  <c r="L53" i="2" l="1"/>
  <c r="AK15" i="2"/>
  <c r="N53" i="9"/>
  <c r="M52" i="2"/>
  <c r="N23" i="10"/>
  <c r="O43" i="10"/>
  <c r="O44" i="10" s="1"/>
  <c r="N43" i="10"/>
  <c r="N44" i="10" s="1"/>
  <c r="N53" i="10" s="1"/>
  <c r="O36" i="10"/>
  <c r="O47" i="10"/>
  <c r="O52" i="10" s="1"/>
  <c r="O29" i="10"/>
  <c r="O47" i="9"/>
  <c r="O52" i="9" s="1"/>
  <c r="O43" i="9"/>
  <c r="O44" i="9" s="1"/>
  <c r="N29" i="9"/>
  <c r="O23" i="9"/>
  <c r="O36" i="9"/>
  <c r="O47" i="8"/>
  <c r="O52" i="8" s="1"/>
  <c r="P36" i="8"/>
  <c r="O11" i="8"/>
  <c r="O12" i="8" s="1"/>
  <c r="O43" i="8"/>
  <c r="N29" i="8"/>
  <c r="N43" i="8"/>
  <c r="N44" i="8" s="1"/>
  <c r="N53" i="8" s="1"/>
  <c r="O11" i="7"/>
  <c r="O36" i="7"/>
  <c r="N7" i="7"/>
  <c r="N12" i="7" s="1"/>
  <c r="O47" i="7"/>
  <c r="N51" i="7"/>
  <c r="N52" i="7" s="1"/>
  <c r="N43" i="7"/>
  <c r="M44" i="7"/>
  <c r="M53" i="7" s="1"/>
  <c r="O23" i="7"/>
  <c r="O29" i="7"/>
  <c r="M44" i="2"/>
  <c r="Q23" i="2"/>
  <c r="N51" i="2"/>
  <c r="O29" i="2"/>
  <c r="O7" i="2"/>
  <c r="N47" i="2"/>
  <c r="N36" i="2"/>
  <c r="N11" i="2"/>
  <c r="N12" i="2" s="1"/>
  <c r="N43" i="2"/>
  <c r="O23" i="6"/>
  <c r="P36" i="6"/>
  <c r="O43" i="6"/>
  <c r="O44" i="6" s="1"/>
  <c r="N29" i="6"/>
  <c r="N47" i="6"/>
  <c r="N52" i="6" s="1"/>
  <c r="N43" i="6"/>
  <c r="N44" i="6" s="1"/>
  <c r="O47" i="5"/>
  <c r="O52" i="5" s="1"/>
  <c r="N29" i="5"/>
  <c r="N43" i="5"/>
  <c r="N44" i="5" s="1"/>
  <c r="N53" i="5" s="1"/>
  <c r="O36" i="5"/>
  <c r="N23" i="5"/>
  <c r="P47" i="4"/>
  <c r="P52" i="4" s="1"/>
  <c r="O29" i="4"/>
  <c r="O36" i="4"/>
  <c r="O43" i="4"/>
  <c r="O44" i="4" s="1"/>
  <c r="O53" i="4" s="1"/>
  <c r="N23" i="4"/>
  <c r="X7" i="4"/>
  <c r="X12" i="4" s="1"/>
  <c r="Y11" i="4"/>
  <c r="Y51" i="4"/>
  <c r="M53" i="2" l="1"/>
  <c r="O53" i="9"/>
  <c r="N53" i="6"/>
  <c r="N44" i="2"/>
  <c r="N52" i="2"/>
  <c r="O53" i="10"/>
  <c r="P47" i="10"/>
  <c r="P52" i="10" s="1"/>
  <c r="P36" i="10"/>
  <c r="P29" i="10"/>
  <c r="O23" i="10"/>
  <c r="P43" i="9"/>
  <c r="P44" i="9" s="1"/>
  <c r="O29" i="9"/>
  <c r="P36" i="9"/>
  <c r="P23" i="9"/>
  <c r="P47" i="9"/>
  <c r="P52" i="9" s="1"/>
  <c r="Q36" i="8"/>
  <c r="P11" i="8"/>
  <c r="P12" i="8" s="1"/>
  <c r="O29" i="8"/>
  <c r="O44" i="8"/>
  <c r="O53" i="8" s="1"/>
  <c r="P47" i="8"/>
  <c r="P52" i="8" s="1"/>
  <c r="P47" i="7"/>
  <c r="P29" i="7"/>
  <c r="N44" i="7"/>
  <c r="N53" i="7" s="1"/>
  <c r="O43" i="7"/>
  <c r="O51" i="7"/>
  <c r="O52" i="7" s="1"/>
  <c r="O7" i="7"/>
  <c r="O12" i="7" s="1"/>
  <c r="P36" i="7"/>
  <c r="P11" i="7"/>
  <c r="P23" i="7"/>
  <c r="O11" i="2"/>
  <c r="O12" i="2" s="1"/>
  <c r="O36" i="2"/>
  <c r="O47" i="2"/>
  <c r="O43" i="2"/>
  <c r="O51" i="2"/>
  <c r="P7" i="2"/>
  <c r="R6" i="2"/>
  <c r="P29" i="2"/>
  <c r="R23" i="2"/>
  <c r="Q36" i="6"/>
  <c r="P23" i="6"/>
  <c r="O47" i="6"/>
  <c r="O52" i="6" s="1"/>
  <c r="O53" i="6" s="1"/>
  <c r="P43" i="6"/>
  <c r="P44" i="6" s="1"/>
  <c r="O29" i="6"/>
  <c r="P36" i="5"/>
  <c r="O23" i="5"/>
  <c r="O29" i="5"/>
  <c r="P47" i="5"/>
  <c r="P52" i="5" s="1"/>
  <c r="O43" i="5"/>
  <c r="O44" i="5" s="1"/>
  <c r="O53" i="5" s="1"/>
  <c r="O23" i="4"/>
  <c r="P43" i="4"/>
  <c r="P44" i="4" s="1"/>
  <c r="P53" i="4" s="1"/>
  <c r="P36" i="4"/>
  <c r="P29" i="4"/>
  <c r="Q47" i="4"/>
  <c r="Q52" i="4" s="1"/>
  <c r="Z11" i="4"/>
  <c r="Y7" i="4"/>
  <c r="Y12" i="4" s="1"/>
  <c r="Z51" i="4"/>
  <c r="P53" i="9" l="1"/>
  <c r="N53" i="2"/>
  <c r="O44" i="7"/>
  <c r="O53" i="7" s="1"/>
  <c r="Q29" i="10"/>
  <c r="P23" i="10"/>
  <c r="P43" i="10"/>
  <c r="P44" i="10" s="1"/>
  <c r="P53" i="10" s="1"/>
  <c r="Q36" i="10"/>
  <c r="Q47" i="10"/>
  <c r="Q52" i="10" s="1"/>
  <c r="Q47" i="9"/>
  <c r="Q52" i="9" s="1"/>
  <c r="Q36" i="9"/>
  <c r="Q43" i="9"/>
  <c r="Q44" i="9" s="1"/>
  <c r="P29" i="9"/>
  <c r="Q23" i="9"/>
  <c r="P29" i="8"/>
  <c r="R36" i="8"/>
  <c r="Q47" i="8"/>
  <c r="Q52" i="8" s="1"/>
  <c r="Q11" i="8"/>
  <c r="Q12" i="8" s="1"/>
  <c r="Q43" i="8"/>
  <c r="P43" i="8"/>
  <c r="P44" i="8" s="1"/>
  <c r="P53" i="8" s="1"/>
  <c r="Q36" i="7"/>
  <c r="Q29" i="7"/>
  <c r="P43" i="7"/>
  <c r="Q23" i="7"/>
  <c r="P7" i="7"/>
  <c r="P12" i="7" s="1"/>
  <c r="Q11" i="7"/>
  <c r="Q47" i="7"/>
  <c r="P51" i="7"/>
  <c r="P52" i="7" s="1"/>
  <c r="W25" i="7"/>
  <c r="O44" i="2"/>
  <c r="Q7" i="2"/>
  <c r="P43" i="2"/>
  <c r="Q29" i="2"/>
  <c r="P51" i="2"/>
  <c r="P47" i="2"/>
  <c r="P36" i="2"/>
  <c r="S23" i="2"/>
  <c r="P11" i="2"/>
  <c r="P12" i="2" s="1"/>
  <c r="O52" i="2"/>
  <c r="Q23" i="6"/>
  <c r="R36" i="6"/>
  <c r="Q43" i="6"/>
  <c r="Q44" i="6" s="1"/>
  <c r="P29" i="6"/>
  <c r="P47" i="6"/>
  <c r="P52" i="6" s="1"/>
  <c r="P53" i="6" s="1"/>
  <c r="Q47" i="5"/>
  <c r="Q52" i="5" s="1"/>
  <c r="P29" i="5"/>
  <c r="P43" i="5"/>
  <c r="P44" i="5" s="1"/>
  <c r="P53" i="5" s="1"/>
  <c r="P23" i="5"/>
  <c r="Q36" i="5"/>
  <c r="Q29" i="4"/>
  <c r="Q36" i="4"/>
  <c r="R47" i="4"/>
  <c r="R52" i="4" s="1"/>
  <c r="P23" i="4"/>
  <c r="Q43" i="4"/>
  <c r="Q44" i="4" s="1"/>
  <c r="Q53" i="4" s="1"/>
  <c r="AA51" i="4"/>
  <c r="Z7" i="4"/>
  <c r="Z12" i="4" s="1"/>
  <c r="AA11" i="4"/>
  <c r="Q53" i="9" l="1"/>
  <c r="P52" i="2"/>
  <c r="P44" i="2"/>
  <c r="P44" i="7"/>
  <c r="P53" i="7" s="1"/>
  <c r="R47" i="10"/>
  <c r="R52" i="10" s="1"/>
  <c r="R36" i="10"/>
  <c r="Q23" i="10"/>
  <c r="R29" i="10"/>
  <c r="Q43" i="10"/>
  <c r="Q44" i="10" s="1"/>
  <c r="Q53" i="10" s="1"/>
  <c r="R23" i="9"/>
  <c r="R36" i="9"/>
  <c r="R43" i="9"/>
  <c r="R44" i="9" s="1"/>
  <c r="Q29" i="9"/>
  <c r="R47" i="9"/>
  <c r="R52" i="9" s="1"/>
  <c r="R11" i="8"/>
  <c r="R12" i="8" s="1"/>
  <c r="R47" i="8"/>
  <c r="R52" i="8" s="1"/>
  <c r="S36" i="8"/>
  <c r="Q44" i="8"/>
  <c r="Q53" i="8" s="1"/>
  <c r="Q29" i="8"/>
  <c r="S6" i="7"/>
  <c r="Q7" i="7"/>
  <c r="Q12" i="7" s="1"/>
  <c r="R11" i="7"/>
  <c r="Q51" i="7"/>
  <c r="Q52" i="7" s="1"/>
  <c r="R29" i="7"/>
  <c r="R47" i="7"/>
  <c r="R23" i="7"/>
  <c r="Q43" i="7"/>
  <c r="R36" i="7"/>
  <c r="O53" i="2"/>
  <c r="Q36" i="2"/>
  <c r="Q47" i="2"/>
  <c r="Q43" i="2"/>
  <c r="R7" i="2"/>
  <c r="T6" i="2"/>
  <c r="T23" i="2"/>
  <c r="Q51" i="2"/>
  <c r="R29" i="2"/>
  <c r="Q11" i="2"/>
  <c r="Q12" i="2" s="1"/>
  <c r="Q47" i="6"/>
  <c r="Q52" i="6" s="1"/>
  <c r="Q53" i="6" s="1"/>
  <c r="R43" i="6"/>
  <c r="R44" i="6" s="1"/>
  <c r="Q29" i="6"/>
  <c r="S36" i="6"/>
  <c r="R23" i="6"/>
  <c r="T14" i="6"/>
  <c r="U14" i="6" s="1"/>
  <c r="Q23" i="5"/>
  <c r="Q29" i="5"/>
  <c r="R36" i="5"/>
  <c r="Q43" i="5"/>
  <c r="Q44" i="5" s="1"/>
  <c r="Q53" i="5" s="1"/>
  <c r="R47" i="5"/>
  <c r="R52" i="5" s="1"/>
  <c r="R36" i="4"/>
  <c r="Q23" i="4"/>
  <c r="S47" i="4"/>
  <c r="S52" i="4" s="1"/>
  <c r="R29" i="4"/>
  <c r="AA7" i="4"/>
  <c r="AA12" i="4" s="1"/>
  <c r="AB11" i="4"/>
  <c r="AB51" i="4"/>
  <c r="R43" i="5" l="1"/>
  <c r="R44" i="5" s="1"/>
  <c r="R53" i="5" s="1"/>
  <c r="P53" i="2"/>
  <c r="U31" i="10"/>
  <c r="V31" i="10" s="1"/>
  <c r="S36" i="10"/>
  <c r="S29" i="10"/>
  <c r="S47" i="10"/>
  <c r="S52" i="10" s="1"/>
  <c r="R23" i="10"/>
  <c r="S43" i="10"/>
  <c r="S44" i="10" s="1"/>
  <c r="R43" i="10"/>
  <c r="R44" i="10" s="1"/>
  <c r="R53" i="10" s="1"/>
  <c r="S47" i="9"/>
  <c r="S52" i="9" s="1"/>
  <c r="R29" i="9"/>
  <c r="S43" i="9"/>
  <c r="S44" i="9" s="1"/>
  <c r="S23" i="9"/>
  <c r="R53" i="9"/>
  <c r="U31" i="9"/>
  <c r="S36" i="9"/>
  <c r="R29" i="8"/>
  <c r="S43" i="8"/>
  <c r="S47" i="8"/>
  <c r="S52" i="8" s="1"/>
  <c r="R43" i="8"/>
  <c r="R44" i="8" s="1"/>
  <c r="R53" i="8" s="1"/>
  <c r="S11" i="8"/>
  <c r="S12" i="8" s="1"/>
  <c r="V31" i="8"/>
  <c r="T36" i="8"/>
  <c r="S23" i="7"/>
  <c r="S47" i="7"/>
  <c r="R51" i="7"/>
  <c r="R52" i="7" s="1"/>
  <c r="S36" i="7"/>
  <c r="R43" i="7"/>
  <c r="Q44" i="7"/>
  <c r="Q53" i="7" s="1"/>
  <c r="S29" i="7"/>
  <c r="S11" i="7"/>
  <c r="R7" i="7"/>
  <c r="R12" i="7" s="1"/>
  <c r="R51" i="2"/>
  <c r="S7" i="2"/>
  <c r="R43" i="2"/>
  <c r="Q44" i="2"/>
  <c r="R47" i="2"/>
  <c r="S29" i="2"/>
  <c r="U23" i="2"/>
  <c r="Q52" i="2"/>
  <c r="R11" i="2"/>
  <c r="R12" i="2" s="1"/>
  <c r="R36" i="2"/>
  <c r="S23" i="6"/>
  <c r="T36" i="6"/>
  <c r="R29" i="6"/>
  <c r="S43" i="6"/>
  <c r="S44" i="6" s="1"/>
  <c r="R47" i="6"/>
  <c r="R52" i="6" s="1"/>
  <c r="R53" i="6" s="1"/>
  <c r="R29" i="5"/>
  <c r="U31" i="5"/>
  <c r="V31" i="5" s="1"/>
  <c r="S36" i="5"/>
  <c r="R23" i="5"/>
  <c r="S47" i="5"/>
  <c r="S52" i="5" s="1"/>
  <c r="S29" i="4"/>
  <c r="R23" i="4"/>
  <c r="S43" i="4"/>
  <c r="S44" i="4" s="1"/>
  <c r="S53" i="4" s="1"/>
  <c r="T47" i="4"/>
  <c r="T52" i="4" s="1"/>
  <c r="R43" i="4"/>
  <c r="R44" i="4" s="1"/>
  <c r="R53" i="4" s="1"/>
  <c r="S36" i="4"/>
  <c r="AC11" i="4"/>
  <c r="AB7" i="4"/>
  <c r="AB12" i="4" s="1"/>
  <c r="AC51" i="4"/>
  <c r="R52" i="2" l="1"/>
  <c r="S53" i="9"/>
  <c r="S53" i="10"/>
  <c r="Q53" i="2"/>
  <c r="S44" i="8"/>
  <c r="S53" i="8" s="1"/>
  <c r="T29" i="10"/>
  <c r="T47" i="10"/>
  <c r="T52" i="10" s="1"/>
  <c r="W14" i="10"/>
  <c r="S23" i="10"/>
  <c r="T36" i="10"/>
  <c r="T36" i="9"/>
  <c r="S29" i="9"/>
  <c r="T23" i="9"/>
  <c r="T47" i="9"/>
  <c r="T52" i="9" s="1"/>
  <c r="U36" i="8"/>
  <c r="T11" i="8"/>
  <c r="T12" i="8" s="1"/>
  <c r="S29" i="8"/>
  <c r="T47" i="8"/>
  <c r="T52" i="8" s="1"/>
  <c r="S43" i="7"/>
  <c r="T36" i="7"/>
  <c r="AB31" i="7"/>
  <c r="S51" i="7"/>
  <c r="S52" i="7" s="1"/>
  <c r="R44" i="7"/>
  <c r="R53" i="7" s="1"/>
  <c r="T47" i="7"/>
  <c r="S7" i="7"/>
  <c r="S12" i="7" s="1"/>
  <c r="T11" i="7"/>
  <c r="T29" i="7"/>
  <c r="T23" i="7"/>
  <c r="S47" i="2"/>
  <c r="R44" i="2"/>
  <c r="T7" i="2"/>
  <c r="T29" i="2"/>
  <c r="S43" i="2"/>
  <c r="S36" i="2"/>
  <c r="S11" i="2"/>
  <c r="S12" i="2" s="1"/>
  <c r="S51" i="2"/>
  <c r="V23" i="2"/>
  <c r="S29" i="6"/>
  <c r="T43" i="6"/>
  <c r="T44" i="6" s="1"/>
  <c r="W31" i="6"/>
  <c r="U36" i="6"/>
  <c r="T23" i="6"/>
  <c r="S47" i="6"/>
  <c r="S52" i="6" s="1"/>
  <c r="S53" i="6" s="1"/>
  <c r="T47" i="5"/>
  <c r="T52" i="5" s="1"/>
  <c r="S29" i="5"/>
  <c r="S23" i="5"/>
  <c r="T43" i="5"/>
  <c r="T44" i="5" s="1"/>
  <c r="T53" i="5" s="1"/>
  <c r="T36" i="5"/>
  <c r="S43" i="5"/>
  <c r="S44" i="5" s="1"/>
  <c r="S53" i="5" s="1"/>
  <c r="V31" i="4"/>
  <c r="T36" i="4"/>
  <c r="U47" i="4"/>
  <c r="U52" i="4" s="1"/>
  <c r="S23" i="4"/>
  <c r="T43" i="4"/>
  <c r="T44" i="4" s="1"/>
  <c r="T53" i="4" s="1"/>
  <c r="T29" i="4"/>
  <c r="AC7" i="4"/>
  <c r="AC12" i="4" s="1"/>
  <c r="AD11" i="4"/>
  <c r="AD51" i="4"/>
  <c r="R53" i="2" l="1"/>
  <c r="S52" i="2"/>
  <c r="S44" i="7"/>
  <c r="S53" i="7" s="1"/>
  <c r="U47" i="10"/>
  <c r="U52" i="10" s="1"/>
  <c r="U36" i="10"/>
  <c r="T23" i="10"/>
  <c r="T43" i="10"/>
  <c r="T44" i="10" s="1"/>
  <c r="T53" i="10" s="1"/>
  <c r="U29" i="10"/>
  <c r="T29" i="9"/>
  <c r="U43" i="9"/>
  <c r="U44" i="9" s="1"/>
  <c r="U53" i="9" s="1"/>
  <c r="U47" i="9"/>
  <c r="U52" i="9" s="1"/>
  <c r="U23" i="9"/>
  <c r="T43" i="9"/>
  <c r="T44" i="9" s="1"/>
  <c r="T53" i="9" s="1"/>
  <c r="U36" i="9"/>
  <c r="U47" i="8"/>
  <c r="U52" i="8" s="1"/>
  <c r="T29" i="8"/>
  <c r="U43" i="8"/>
  <c r="T43" i="8"/>
  <c r="T44" i="8" s="1"/>
  <c r="T53" i="8" s="1"/>
  <c r="U11" i="8"/>
  <c r="U12" i="8" s="1"/>
  <c r="V36" i="8"/>
  <c r="U11" i="7"/>
  <c r="U23" i="7"/>
  <c r="T51" i="7"/>
  <c r="T52" i="7" s="1"/>
  <c r="T7" i="7"/>
  <c r="T12" i="7" s="1"/>
  <c r="W28" i="7"/>
  <c r="U29" i="7"/>
  <c r="U36" i="7"/>
  <c r="U47" i="7"/>
  <c r="T43" i="7"/>
  <c r="S44" i="2"/>
  <c r="S53" i="2" s="1"/>
  <c r="T36" i="2"/>
  <c r="T11" i="2"/>
  <c r="T12" i="2" s="1"/>
  <c r="T43" i="2"/>
  <c r="W23" i="2"/>
  <c r="U29" i="2"/>
  <c r="T51" i="2"/>
  <c r="W6" i="2"/>
  <c r="X6" i="2" s="1"/>
  <c r="U7" i="2"/>
  <c r="T47" i="2"/>
  <c r="T29" i="6"/>
  <c r="T47" i="6"/>
  <c r="T52" i="6" s="1"/>
  <c r="T53" i="6" s="1"/>
  <c r="U23" i="6"/>
  <c r="V36" i="6"/>
  <c r="T29" i="5"/>
  <c r="U36" i="5"/>
  <c r="U47" i="5"/>
  <c r="U52" i="5" s="1"/>
  <c r="T23" i="5"/>
  <c r="U29" i="4"/>
  <c r="V47" i="4"/>
  <c r="V52" i="4" s="1"/>
  <c r="U43" i="4"/>
  <c r="U44" i="4" s="1"/>
  <c r="U53" i="4" s="1"/>
  <c r="T23" i="4"/>
  <c r="U36" i="4"/>
  <c r="AE11" i="4"/>
  <c r="AD7" i="4"/>
  <c r="AD12" i="4" s="1"/>
  <c r="AE51" i="4"/>
  <c r="U44" i="8" l="1"/>
  <c r="U53" i="8" s="1"/>
  <c r="T44" i="7"/>
  <c r="T53" i="7" s="1"/>
  <c r="V29" i="10"/>
  <c r="U23" i="10"/>
  <c r="U43" i="10"/>
  <c r="U44" i="10" s="1"/>
  <c r="U53" i="10" s="1"/>
  <c r="V43" i="10"/>
  <c r="V44" i="10" s="1"/>
  <c r="V36" i="10"/>
  <c r="V47" i="10"/>
  <c r="V52" i="10" s="1"/>
  <c r="V47" i="9"/>
  <c r="V52" i="9" s="1"/>
  <c r="V23" i="9"/>
  <c r="U29" i="9"/>
  <c r="V43" i="9"/>
  <c r="V44" i="9" s="1"/>
  <c r="V36" i="9"/>
  <c r="W36" i="8"/>
  <c r="V11" i="8"/>
  <c r="V12" i="8" s="1"/>
  <c r="V47" i="8"/>
  <c r="V52" i="8" s="1"/>
  <c r="U29" i="8"/>
  <c r="V36" i="7"/>
  <c r="V29" i="7"/>
  <c r="V23" i="7"/>
  <c r="V11" i="7"/>
  <c r="U7" i="7"/>
  <c r="U12" i="7" s="1"/>
  <c r="U51" i="7"/>
  <c r="U52" i="7" s="1"/>
  <c r="U43" i="7"/>
  <c r="V47" i="7"/>
  <c r="T44" i="2"/>
  <c r="V7" i="2"/>
  <c r="X23" i="2"/>
  <c r="U43" i="2"/>
  <c r="U11" i="2"/>
  <c r="U12" i="2" s="1"/>
  <c r="U47" i="2"/>
  <c r="U36" i="2"/>
  <c r="U51" i="2"/>
  <c r="V29" i="2"/>
  <c r="T52" i="2"/>
  <c r="W36" i="6"/>
  <c r="V23" i="6"/>
  <c r="U29" i="6"/>
  <c r="U43" i="6"/>
  <c r="U44" i="6" s="1"/>
  <c r="U47" i="6"/>
  <c r="U52" i="6" s="1"/>
  <c r="V43" i="6"/>
  <c r="V44" i="6" s="1"/>
  <c r="U43" i="5"/>
  <c r="U44" i="5" s="1"/>
  <c r="U53" i="5" s="1"/>
  <c r="U23" i="5"/>
  <c r="V47" i="5"/>
  <c r="V52" i="5" s="1"/>
  <c r="V36" i="5"/>
  <c r="U29" i="5"/>
  <c r="W47" i="4"/>
  <c r="W52" i="4" s="1"/>
  <c r="V43" i="4"/>
  <c r="V44" i="4" s="1"/>
  <c r="V53" i="4" s="1"/>
  <c r="U23" i="4"/>
  <c r="V36" i="4"/>
  <c r="V29" i="4"/>
  <c r="AF51" i="4"/>
  <c r="AE7" i="4"/>
  <c r="AE12" i="4" s="1"/>
  <c r="AF11" i="4"/>
  <c r="V53" i="10" l="1"/>
  <c r="V53" i="9"/>
  <c r="V43" i="5"/>
  <c r="V44" i="5" s="1"/>
  <c r="V53" i="5" s="1"/>
  <c r="U53" i="6"/>
  <c r="T53" i="2"/>
  <c r="U44" i="7"/>
  <c r="U53" i="7" s="1"/>
  <c r="V23" i="10"/>
  <c r="W36" i="10"/>
  <c r="W47" i="10"/>
  <c r="W52" i="10" s="1"/>
  <c r="W29" i="10"/>
  <c r="W23" i="9"/>
  <c r="W47" i="9"/>
  <c r="W52" i="9" s="1"/>
  <c r="W36" i="9"/>
  <c r="V29" i="9"/>
  <c r="W43" i="9"/>
  <c r="W44" i="9" s="1"/>
  <c r="W47" i="8"/>
  <c r="W52" i="8" s="1"/>
  <c r="W11" i="8"/>
  <c r="W12" i="8" s="1"/>
  <c r="V29" i="8"/>
  <c r="V43" i="8"/>
  <c r="V44" i="8" s="1"/>
  <c r="V53" i="8" s="1"/>
  <c r="X36" i="8"/>
  <c r="W11" i="7"/>
  <c r="W29" i="7"/>
  <c r="V51" i="7"/>
  <c r="V52" i="7" s="1"/>
  <c r="W23" i="7"/>
  <c r="W36" i="7"/>
  <c r="W47" i="7"/>
  <c r="V43" i="7"/>
  <c r="AC25" i="7"/>
  <c r="V7" i="7"/>
  <c r="V12" i="7" s="1"/>
  <c r="U44" i="2"/>
  <c r="V43" i="2"/>
  <c r="V51" i="2"/>
  <c r="U52" i="2"/>
  <c r="V11" i="2"/>
  <c r="V12" i="2" s="1"/>
  <c r="V36" i="2"/>
  <c r="V47" i="2"/>
  <c r="Y23" i="2"/>
  <c r="W29" i="2"/>
  <c r="W7" i="2"/>
  <c r="V47" i="6"/>
  <c r="V52" i="6" s="1"/>
  <c r="V53" i="6" s="1"/>
  <c r="V29" i="6"/>
  <c r="W43" i="6"/>
  <c r="W44" i="6" s="1"/>
  <c r="W23" i="6"/>
  <c r="X36" i="6"/>
  <c r="V29" i="5"/>
  <c r="V23" i="5"/>
  <c r="W36" i="5"/>
  <c r="W47" i="5"/>
  <c r="W52" i="5" s="1"/>
  <c r="V23" i="4"/>
  <c r="W29" i="4"/>
  <c r="W36" i="4"/>
  <c r="X47" i="4"/>
  <c r="X52" i="4" s="1"/>
  <c r="W43" i="4"/>
  <c r="W44" i="4" s="1"/>
  <c r="W53" i="4" s="1"/>
  <c r="AF7" i="4"/>
  <c r="AF12" i="4" s="1"/>
  <c r="AG11" i="4"/>
  <c r="AG51" i="4"/>
  <c r="W53" i="9" l="1"/>
  <c r="V52" i="2"/>
  <c r="V44" i="7"/>
  <c r="X36" i="10"/>
  <c r="X29" i="10"/>
  <c r="W23" i="10"/>
  <c r="W43" i="10"/>
  <c r="W44" i="10" s="1"/>
  <c r="W53" i="10" s="1"/>
  <c r="X47" i="10"/>
  <c r="X52" i="10" s="1"/>
  <c r="X36" i="9"/>
  <c r="X47" i="9"/>
  <c r="X52" i="9" s="1"/>
  <c r="X23" i="9"/>
  <c r="W29" i="9"/>
  <c r="X43" i="9"/>
  <c r="X44" i="9" s="1"/>
  <c r="W29" i="8"/>
  <c r="X43" i="8"/>
  <c r="X11" i="8"/>
  <c r="X12" i="8" s="1"/>
  <c r="W43" i="8"/>
  <c r="W44" i="8" s="1"/>
  <c r="W53" i="8" s="1"/>
  <c r="Y36" i="8"/>
  <c r="X47" i="8"/>
  <c r="X52" i="8" s="1"/>
  <c r="X36" i="7"/>
  <c r="W7" i="7"/>
  <c r="W12" i="7" s="1"/>
  <c r="X47" i="7"/>
  <c r="X29" i="7"/>
  <c r="X23" i="7"/>
  <c r="W43" i="7"/>
  <c r="W51" i="7"/>
  <c r="W52" i="7" s="1"/>
  <c r="V53" i="7"/>
  <c r="X11" i="7"/>
  <c r="V44" i="2"/>
  <c r="U53" i="2"/>
  <c r="X7" i="2"/>
  <c r="W51" i="2"/>
  <c r="W43" i="2"/>
  <c r="W47" i="2"/>
  <c r="W36" i="2"/>
  <c r="W11" i="2"/>
  <c r="W12" i="2" s="1"/>
  <c r="X29" i="2"/>
  <c r="Z23" i="2"/>
  <c r="X23" i="6"/>
  <c r="Z14" i="6"/>
  <c r="AA14" i="6" s="1"/>
  <c r="Y36" i="6"/>
  <c r="W29" i="6"/>
  <c r="W47" i="6"/>
  <c r="W52" i="6" s="1"/>
  <c r="W53" i="6" s="1"/>
  <c r="X47" i="5"/>
  <c r="X52" i="5" s="1"/>
  <c r="W23" i="5"/>
  <c r="W29" i="5"/>
  <c r="Z31" i="5"/>
  <c r="AA31" i="5" s="1"/>
  <c r="X36" i="5"/>
  <c r="W43" i="5"/>
  <c r="W44" i="5" s="1"/>
  <c r="W53" i="5" s="1"/>
  <c r="Y47" i="4"/>
  <c r="Y52" i="4" s="1"/>
  <c r="X29" i="4"/>
  <c r="X36" i="4"/>
  <c r="W23" i="4"/>
  <c r="AH11" i="4"/>
  <c r="AG7" i="4"/>
  <c r="AG12" i="4" s="1"/>
  <c r="AH51" i="4"/>
  <c r="V53" i="2" l="1"/>
  <c r="X43" i="5"/>
  <c r="X44" i="5" s="1"/>
  <c r="X53" i="5" s="1"/>
  <c r="X53" i="9"/>
  <c r="W52" i="2"/>
  <c r="Y36" i="10"/>
  <c r="Y29" i="10"/>
  <c r="Y47" i="10"/>
  <c r="Y52" i="10" s="1"/>
  <c r="X23" i="10"/>
  <c r="X43" i="10"/>
  <c r="X44" i="10" s="1"/>
  <c r="X53" i="10" s="1"/>
  <c r="Y47" i="9"/>
  <c r="Y52" i="9" s="1"/>
  <c r="X29" i="9"/>
  <c r="Y43" i="9"/>
  <c r="Y44" i="9" s="1"/>
  <c r="Y36" i="9"/>
  <c r="Y23" i="9"/>
  <c r="Y47" i="8"/>
  <c r="Y52" i="8" s="1"/>
  <c r="Y11" i="8"/>
  <c r="Y12" i="8" s="1"/>
  <c r="Z36" i="8"/>
  <c r="X44" i="8"/>
  <c r="X53" i="8" s="1"/>
  <c r="X29" i="8"/>
  <c r="Y43" i="8"/>
  <c r="Y47" i="7"/>
  <c r="W44" i="7"/>
  <c r="W53" i="7" s="1"/>
  <c r="X43" i="7"/>
  <c r="Y29" i="7"/>
  <c r="Y11" i="7"/>
  <c r="Y23" i="7"/>
  <c r="X7" i="7"/>
  <c r="X12" i="7" s="1"/>
  <c r="X51" i="7"/>
  <c r="X52" i="7" s="1"/>
  <c r="Y36" i="7"/>
  <c r="AA23" i="2"/>
  <c r="X11" i="2"/>
  <c r="X12" i="2" s="1"/>
  <c r="X36" i="2"/>
  <c r="W44" i="2"/>
  <c r="X47" i="2"/>
  <c r="X43" i="2"/>
  <c r="X51" i="2"/>
  <c r="Y7" i="2"/>
  <c r="Y29" i="2"/>
  <c r="X29" i="6"/>
  <c r="Y43" i="6"/>
  <c r="Y44" i="6" s="1"/>
  <c r="X47" i="6"/>
  <c r="X52" i="6" s="1"/>
  <c r="Z36" i="6"/>
  <c r="Y23" i="6"/>
  <c r="X43" i="6"/>
  <c r="X44" i="6" s="1"/>
  <c r="Y36" i="5"/>
  <c r="X29" i="5"/>
  <c r="X23" i="5"/>
  <c r="Y47" i="5"/>
  <c r="Y52" i="5" s="1"/>
  <c r="Y36" i="4"/>
  <c r="Y43" i="4"/>
  <c r="Y44" i="4" s="1"/>
  <c r="Y53" i="4" s="1"/>
  <c r="X23" i="4"/>
  <c r="X43" i="4"/>
  <c r="X44" i="4" s="1"/>
  <c r="X53" i="4" s="1"/>
  <c r="Y29" i="4"/>
  <c r="Z47" i="4"/>
  <c r="Z52" i="4" s="1"/>
  <c r="AI11" i="4"/>
  <c r="AH7" i="4"/>
  <c r="AH12" i="4" s="1"/>
  <c r="AI51" i="4"/>
  <c r="W53" i="2" l="1"/>
  <c r="Y43" i="5"/>
  <c r="Y44" i="5" s="1"/>
  <c r="Y53" i="5" s="1"/>
  <c r="X53" i="6"/>
  <c r="Y53" i="9"/>
  <c r="X44" i="7"/>
  <c r="X53" i="7" s="1"/>
  <c r="Z36" i="10"/>
  <c r="AB31" i="10"/>
  <c r="Z47" i="10"/>
  <c r="Z52" i="10" s="1"/>
  <c r="Z29" i="10"/>
  <c r="Y23" i="10"/>
  <c r="Z43" i="10"/>
  <c r="Z44" i="10" s="1"/>
  <c r="Y43" i="10"/>
  <c r="Y44" i="10" s="1"/>
  <c r="Y53" i="10" s="1"/>
  <c r="Z23" i="9"/>
  <c r="Y29" i="9"/>
  <c r="Z43" i="9"/>
  <c r="Z44" i="9" s="1"/>
  <c r="Z47" i="9"/>
  <c r="Z52" i="9" s="1"/>
  <c r="Z36" i="9"/>
  <c r="AB31" i="9"/>
  <c r="AC31" i="9" s="1"/>
  <c r="Y29" i="8"/>
  <c r="Z43" i="8"/>
  <c r="Z11" i="8"/>
  <c r="Z12" i="8" s="1"/>
  <c r="Y44" i="8"/>
  <c r="Y53" i="8" s="1"/>
  <c r="AA36" i="8"/>
  <c r="AC31" i="8"/>
  <c r="Z47" i="8"/>
  <c r="Z52" i="8" s="1"/>
  <c r="Z11" i="7"/>
  <c r="Y51" i="7"/>
  <c r="Y52" i="7" s="1"/>
  <c r="Z23" i="7"/>
  <c r="Z29" i="7"/>
  <c r="Y43" i="7"/>
  <c r="Z36" i="7"/>
  <c r="Y7" i="7"/>
  <c r="Y12" i="7" s="1"/>
  <c r="AA6" i="7"/>
  <c r="Z47" i="7"/>
  <c r="X44" i="2"/>
  <c r="Y51" i="2"/>
  <c r="Y43" i="2"/>
  <c r="Y47" i="2"/>
  <c r="AB23" i="2"/>
  <c r="X52" i="2"/>
  <c r="Y36" i="2"/>
  <c r="Y11" i="2"/>
  <c r="Y12" i="2" s="1"/>
  <c r="Z29" i="2"/>
  <c r="Z7" i="2"/>
  <c r="AB6" i="2"/>
  <c r="Y47" i="6"/>
  <c r="Y52" i="6" s="1"/>
  <c r="Y53" i="6" s="1"/>
  <c r="Z23" i="6"/>
  <c r="AA36" i="6"/>
  <c r="Y29" i="6"/>
  <c r="Z47" i="5"/>
  <c r="Z52" i="5" s="1"/>
  <c r="Y23" i="5"/>
  <c r="Z36" i="5"/>
  <c r="Y29" i="5"/>
  <c r="AA47" i="4"/>
  <c r="AA52" i="4" s="1"/>
  <c r="Z43" i="4"/>
  <c r="Z44" i="4" s="1"/>
  <c r="Z53" i="4" s="1"/>
  <c r="Y23" i="4"/>
  <c r="Z29" i="4"/>
  <c r="Z36" i="4"/>
  <c r="AI7" i="4"/>
  <c r="AI12" i="4" s="1"/>
  <c r="AJ11" i="4"/>
  <c r="AJ51" i="4"/>
  <c r="Z53" i="10" l="1"/>
  <c r="Z53" i="9"/>
  <c r="Y52" i="2"/>
  <c r="AA47" i="10"/>
  <c r="AA52" i="10" s="1"/>
  <c r="Z23" i="10"/>
  <c r="AA29" i="10"/>
  <c r="AA36" i="10"/>
  <c r="AA36" i="9"/>
  <c r="AA23" i="9"/>
  <c r="Z29" i="9"/>
  <c r="AA47" i="9"/>
  <c r="AA52" i="9" s="1"/>
  <c r="AA47" i="8"/>
  <c r="AA52" i="8" s="1"/>
  <c r="AA11" i="8"/>
  <c r="AA12" i="8" s="1"/>
  <c r="Z44" i="8"/>
  <c r="Z53" i="8" s="1"/>
  <c r="AB36" i="8"/>
  <c r="Z29" i="8"/>
  <c r="AA43" i="8"/>
  <c r="AA29" i="7"/>
  <c r="Z43" i="7"/>
  <c r="Z7" i="7"/>
  <c r="Z12" i="7" s="1"/>
  <c r="AA36" i="7"/>
  <c r="AA23" i="7"/>
  <c r="Y44" i="7"/>
  <c r="Y53" i="7" s="1"/>
  <c r="AA11" i="7"/>
  <c r="Z51" i="7"/>
  <c r="Z52" i="7" s="1"/>
  <c r="AA47" i="7"/>
  <c r="X53" i="2"/>
  <c r="Y44" i="2"/>
  <c r="Z36" i="2"/>
  <c r="Z51" i="2"/>
  <c r="AC23" i="2"/>
  <c r="Z47" i="2"/>
  <c r="AA7" i="2"/>
  <c r="AA29" i="2"/>
  <c r="Z43" i="2"/>
  <c r="Z11" i="2"/>
  <c r="Z12" i="2" s="1"/>
  <c r="AA23" i="6"/>
  <c r="Z29" i="6"/>
  <c r="AA43" i="6"/>
  <c r="AA44" i="6" s="1"/>
  <c r="AB36" i="6"/>
  <c r="Z43" i="6"/>
  <c r="Z44" i="6" s="1"/>
  <c r="Z47" i="6"/>
  <c r="Z52" i="6" s="1"/>
  <c r="AA36" i="5"/>
  <c r="Z29" i="5"/>
  <c r="Z43" i="5"/>
  <c r="Z44" i="5" s="1"/>
  <c r="Z53" i="5" s="1"/>
  <c r="AA43" i="5"/>
  <c r="AA44" i="5" s="1"/>
  <c r="Z23" i="5"/>
  <c r="AA47" i="5"/>
  <c r="AA52" i="5" s="1"/>
  <c r="Z23" i="4"/>
  <c r="AA43" i="4"/>
  <c r="AA44" i="4" s="1"/>
  <c r="AA53" i="4" s="1"/>
  <c r="AA36" i="4"/>
  <c r="AC31" i="4"/>
  <c r="AD31" i="4" s="1"/>
  <c r="AA29" i="4"/>
  <c r="AB47" i="4"/>
  <c r="AB52" i="4" s="1"/>
  <c r="AM51" i="5"/>
  <c r="AJ7" i="4"/>
  <c r="AJ12" i="4" s="1"/>
  <c r="AK11" i="4"/>
  <c r="AK51" i="4"/>
  <c r="Y53" i="2" l="1"/>
  <c r="AA53" i="5"/>
  <c r="Z52" i="2"/>
  <c r="Z44" i="7"/>
  <c r="Z53" i="7" s="1"/>
  <c r="AE14" i="10"/>
  <c r="AB36" i="10"/>
  <c r="AA23" i="10"/>
  <c r="AB43" i="10"/>
  <c r="AB44" i="10" s="1"/>
  <c r="AA43" i="10"/>
  <c r="AA44" i="10" s="1"/>
  <c r="AA53" i="10" s="1"/>
  <c r="AB47" i="10"/>
  <c r="AB52" i="10" s="1"/>
  <c r="AB29" i="10"/>
  <c r="AA29" i="9"/>
  <c r="AB43" i="9"/>
  <c r="AB44" i="9" s="1"/>
  <c r="AA43" i="9"/>
  <c r="AA44" i="9" s="1"/>
  <c r="AA53" i="9" s="1"/>
  <c r="AB47" i="9"/>
  <c r="AB52" i="9" s="1"/>
  <c r="AB23" i="9"/>
  <c r="AB36" i="9"/>
  <c r="AA44" i="8"/>
  <c r="AA53" i="8" s="1"/>
  <c r="AB11" i="8"/>
  <c r="AB12" i="8" s="1"/>
  <c r="AB47" i="8"/>
  <c r="AB52" i="8" s="1"/>
  <c r="AA29" i="8"/>
  <c r="AB43" i="8"/>
  <c r="AC36" i="8"/>
  <c r="AB11" i="7"/>
  <c r="AB36" i="7"/>
  <c r="AB47" i="7"/>
  <c r="AA43" i="7"/>
  <c r="AA7" i="7"/>
  <c r="AA12" i="7" s="1"/>
  <c r="AB23" i="7"/>
  <c r="AA51" i="7"/>
  <c r="AA52" i="7" s="1"/>
  <c r="AB29" i="7"/>
  <c r="Z44" i="2"/>
  <c r="Z53" i="2" s="1"/>
  <c r="AB29" i="2"/>
  <c r="AA47" i="2"/>
  <c r="AD23" i="2"/>
  <c r="AA36" i="2"/>
  <c r="AB7" i="2"/>
  <c r="AA51" i="2"/>
  <c r="AA11" i="2"/>
  <c r="AA12" i="2" s="1"/>
  <c r="AA43" i="2"/>
  <c r="AA47" i="6"/>
  <c r="AA52" i="6" s="1"/>
  <c r="AA53" i="6" s="1"/>
  <c r="AB23" i="6"/>
  <c r="Z53" i="6"/>
  <c r="AC36" i="6"/>
  <c r="AA29" i="6"/>
  <c r="AB43" i="6"/>
  <c r="AB44" i="6" s="1"/>
  <c r="AB36" i="5"/>
  <c r="AB47" i="5"/>
  <c r="AB52" i="5" s="1"/>
  <c r="AA23" i="5"/>
  <c r="AA29" i="5"/>
  <c r="AB36" i="4"/>
  <c r="AC47" i="4"/>
  <c r="AC52" i="4" s="1"/>
  <c r="AB29" i="4"/>
  <c r="AB43" i="4"/>
  <c r="AB44" i="4" s="1"/>
  <c r="AB53" i="4" s="1"/>
  <c r="AA23" i="4"/>
  <c r="AM7" i="9"/>
  <c r="AM51" i="10"/>
  <c r="AM51" i="9"/>
  <c r="AM7" i="8"/>
  <c r="AM51" i="8"/>
  <c r="AM51" i="6"/>
  <c r="AM7" i="5"/>
  <c r="AM11" i="5"/>
  <c r="AL51" i="4"/>
  <c r="AM51" i="4"/>
  <c r="AM11" i="4"/>
  <c r="AL11" i="4"/>
  <c r="AK7" i="4"/>
  <c r="AK12" i="4" s="1"/>
  <c r="AB53" i="9" l="1"/>
  <c r="AA44" i="7"/>
  <c r="AA53" i="7" s="1"/>
  <c r="AB53" i="10"/>
  <c r="AB23" i="10"/>
  <c r="AC43" i="10"/>
  <c r="AC44" i="10" s="1"/>
  <c r="AC36" i="10"/>
  <c r="AC29" i="10"/>
  <c r="AC47" i="10"/>
  <c r="AC52" i="10" s="1"/>
  <c r="AC23" i="9"/>
  <c r="AC47" i="9"/>
  <c r="AC52" i="9" s="1"/>
  <c r="AC36" i="9"/>
  <c r="AB29" i="9"/>
  <c r="AC43" i="9"/>
  <c r="AC44" i="9" s="1"/>
  <c r="AD36" i="8"/>
  <c r="AB29" i="8"/>
  <c r="AC47" i="8"/>
  <c r="AC52" i="8" s="1"/>
  <c r="AC11" i="8"/>
  <c r="AC12" i="8" s="1"/>
  <c r="AB44" i="8"/>
  <c r="AB53" i="8" s="1"/>
  <c r="AC23" i="7"/>
  <c r="AB7" i="7"/>
  <c r="AB12" i="7" s="1"/>
  <c r="AC47" i="7"/>
  <c r="AC36" i="7"/>
  <c r="AB51" i="7"/>
  <c r="AB52" i="7" s="1"/>
  <c r="AB43" i="7"/>
  <c r="AE28" i="7"/>
  <c r="AC29" i="7"/>
  <c r="AK31" i="7"/>
  <c r="AC11" i="7"/>
  <c r="AA44" i="2"/>
  <c r="AB51" i="2"/>
  <c r="AE23" i="2"/>
  <c r="AC29" i="2"/>
  <c r="AB36" i="2"/>
  <c r="AB47" i="2"/>
  <c r="AB43" i="2"/>
  <c r="AC7" i="2"/>
  <c r="AA52" i="2"/>
  <c r="AB11" i="2"/>
  <c r="AB12" i="2" s="1"/>
  <c r="AD36" i="6"/>
  <c r="AB29" i="6"/>
  <c r="AC43" i="6"/>
  <c r="AC44" i="6" s="1"/>
  <c r="AC23" i="6"/>
  <c r="AB47" i="6"/>
  <c r="AB52" i="6" s="1"/>
  <c r="AB53" i="6" s="1"/>
  <c r="AE14" i="6"/>
  <c r="AF14" i="6" s="1"/>
  <c r="AB29" i="5"/>
  <c r="AB23" i="5"/>
  <c r="AC47" i="5"/>
  <c r="AC52" i="5" s="1"/>
  <c r="AC36" i="5"/>
  <c r="AB43" i="5"/>
  <c r="AB44" i="5" s="1"/>
  <c r="AB53" i="5" s="1"/>
  <c r="AB23" i="4"/>
  <c r="AC29" i="4"/>
  <c r="AC36" i="4"/>
  <c r="AD47" i="4"/>
  <c r="AD52" i="4" s="1"/>
  <c r="AM7" i="10"/>
  <c r="AM11" i="9"/>
  <c r="AM12" i="9" s="1"/>
  <c r="AM11" i="10"/>
  <c r="AM23" i="8"/>
  <c r="AM11" i="6"/>
  <c r="AM7" i="6"/>
  <c r="AM12" i="5"/>
  <c r="AL7" i="4"/>
  <c r="AL12" i="4" s="1"/>
  <c r="AM7" i="4"/>
  <c r="AM12" i="4" s="1"/>
  <c r="AC43" i="5" l="1"/>
  <c r="AC44" i="5" s="1"/>
  <c r="AC53" i="9"/>
  <c r="AA53" i="2"/>
  <c r="AC53" i="10"/>
  <c r="AM12" i="6"/>
  <c r="AB52" i="2"/>
  <c r="AD47" i="10"/>
  <c r="AD52" i="10" s="1"/>
  <c r="AD36" i="10"/>
  <c r="AM12" i="10"/>
  <c r="AC23" i="10"/>
  <c r="AD29" i="10"/>
  <c r="AD47" i="9"/>
  <c r="AD52" i="9" s="1"/>
  <c r="AD23" i="9"/>
  <c r="AD36" i="9"/>
  <c r="AD43" i="9"/>
  <c r="AD44" i="9" s="1"/>
  <c r="AD53" i="9" s="1"/>
  <c r="AC29" i="9"/>
  <c r="AD47" i="8"/>
  <c r="AD52" i="8" s="1"/>
  <c r="AD11" i="8"/>
  <c r="AD12" i="8" s="1"/>
  <c r="AD43" i="8"/>
  <c r="AC29" i="8"/>
  <c r="AE36" i="8"/>
  <c r="AC43" i="8"/>
  <c r="AC44" i="8" s="1"/>
  <c r="AC53" i="8" s="1"/>
  <c r="AC43" i="7"/>
  <c r="AJ25" i="7"/>
  <c r="AC51" i="7"/>
  <c r="AC52" i="7" s="1"/>
  <c r="AC7" i="7"/>
  <c r="AC12" i="7" s="1"/>
  <c r="AE6" i="7"/>
  <c r="AB44" i="7"/>
  <c r="AB53" i="7" s="1"/>
  <c r="AD36" i="7"/>
  <c r="AD23" i="7"/>
  <c r="AD47" i="7"/>
  <c r="AD11" i="7"/>
  <c r="AD29" i="7"/>
  <c r="AB44" i="2"/>
  <c r="AD29" i="2"/>
  <c r="AC43" i="2"/>
  <c r="AC47" i="2"/>
  <c r="AC36" i="2"/>
  <c r="AC11" i="2"/>
  <c r="AC12" i="2" s="1"/>
  <c r="AD7" i="2"/>
  <c r="AF6" i="2"/>
  <c r="AC51" i="2"/>
  <c r="AF23" i="2"/>
  <c r="AD23" i="6"/>
  <c r="AD43" i="6"/>
  <c r="AD44" i="6" s="1"/>
  <c r="AC29" i="6"/>
  <c r="AC47" i="6"/>
  <c r="AC52" i="6" s="1"/>
  <c r="AC53" i="6" s="1"/>
  <c r="AE36" i="6"/>
  <c r="AD47" i="5"/>
  <c r="AD52" i="5" s="1"/>
  <c r="AD36" i="5"/>
  <c r="AC29" i="5"/>
  <c r="AC53" i="5"/>
  <c r="AC23" i="5"/>
  <c r="AE47" i="4"/>
  <c r="AE52" i="4" s="1"/>
  <c r="AD36" i="4"/>
  <c r="AC23" i="4"/>
  <c r="AD43" i="4"/>
  <c r="AD44" i="4" s="1"/>
  <c r="AD53" i="4" s="1"/>
  <c r="AD29" i="4"/>
  <c r="AC43" i="4"/>
  <c r="AC44" i="4" s="1"/>
  <c r="AC53" i="4" s="1"/>
  <c r="AB53" i="2" l="1"/>
  <c r="AD43" i="5"/>
  <c r="AD44" i="5" s="1"/>
  <c r="AD53" i="5" s="1"/>
  <c r="AC44" i="7"/>
  <c r="AD23" i="10"/>
  <c r="AD43" i="10"/>
  <c r="AD44" i="10" s="1"/>
  <c r="AD53" i="10" s="1"/>
  <c r="AE47" i="10"/>
  <c r="AE52" i="10" s="1"/>
  <c r="AE29" i="10"/>
  <c r="AE36" i="10"/>
  <c r="AE43" i="10"/>
  <c r="AE44" i="10" s="1"/>
  <c r="AE23" i="9"/>
  <c r="AE47" i="9"/>
  <c r="AE52" i="9" s="1"/>
  <c r="AD29" i="9"/>
  <c r="AE36" i="9"/>
  <c r="AE43" i="9"/>
  <c r="AE44" i="9" s="1"/>
  <c r="AE11" i="8"/>
  <c r="AE12" i="8" s="1"/>
  <c r="AD44" i="8"/>
  <c r="AD53" i="8" s="1"/>
  <c r="AF36" i="8"/>
  <c r="AD29" i="8"/>
  <c r="AE43" i="8"/>
  <c r="AE47" i="8"/>
  <c r="AE52" i="8" s="1"/>
  <c r="AE23" i="7"/>
  <c r="AE11" i="7"/>
  <c r="AC53" i="7"/>
  <c r="AD51" i="7"/>
  <c r="AD52" i="7" s="1"/>
  <c r="AE47" i="7"/>
  <c r="AD43" i="7"/>
  <c r="AE36" i="7"/>
  <c r="AD7" i="7"/>
  <c r="AD12" i="7" s="1"/>
  <c r="AE29" i="7"/>
  <c r="AC44" i="2"/>
  <c r="AD51" i="2"/>
  <c r="AD47" i="2"/>
  <c r="AD43" i="2"/>
  <c r="AE7" i="2"/>
  <c r="AD11" i="2"/>
  <c r="AD12" i="2" s="1"/>
  <c r="AC52" i="2"/>
  <c r="AD36" i="2"/>
  <c r="AG23" i="2"/>
  <c r="AE29" i="2"/>
  <c r="AD47" i="6"/>
  <c r="AD52" i="6" s="1"/>
  <c r="AD53" i="6" s="1"/>
  <c r="AE43" i="6"/>
  <c r="AE44" i="6" s="1"/>
  <c r="AD29" i="6"/>
  <c r="AH31" i="6"/>
  <c r="AF36" i="6"/>
  <c r="AE23" i="6"/>
  <c r="AD23" i="5"/>
  <c r="AE47" i="5"/>
  <c r="AE52" i="5" s="1"/>
  <c r="AD29" i="5"/>
  <c r="AE36" i="5"/>
  <c r="AD23" i="4"/>
  <c r="AE36" i="4"/>
  <c r="AE29" i="4"/>
  <c r="AF47" i="4"/>
  <c r="AF52" i="4" s="1"/>
  <c r="AE53" i="9" l="1"/>
  <c r="AE43" i="5"/>
  <c r="AE44" i="5" s="1"/>
  <c r="AE53" i="5" s="1"/>
  <c r="AE53" i="10"/>
  <c r="AD52" i="2"/>
  <c r="AF29" i="10"/>
  <c r="AE23" i="10"/>
  <c r="AH31" i="10"/>
  <c r="AF36" i="10"/>
  <c r="AF47" i="10"/>
  <c r="AF52" i="10" s="1"/>
  <c r="AF36" i="9"/>
  <c r="AF47" i="9"/>
  <c r="AF52" i="9" s="1"/>
  <c r="AF43" i="9"/>
  <c r="AF44" i="9" s="1"/>
  <c r="AE29" i="9"/>
  <c r="AF23" i="9"/>
  <c r="AF47" i="8"/>
  <c r="AF52" i="8" s="1"/>
  <c r="AI31" i="8"/>
  <c r="AG36" i="8"/>
  <c r="AF43" i="8"/>
  <c r="AE29" i="8"/>
  <c r="AF11" i="8"/>
  <c r="AF12" i="8" s="1"/>
  <c r="AE44" i="8"/>
  <c r="AE53" i="8" s="1"/>
  <c r="AF29" i="7"/>
  <c r="AE43" i="7"/>
  <c r="AF36" i="7"/>
  <c r="AF47" i="7"/>
  <c r="AD44" i="7"/>
  <c r="AD53" i="7" s="1"/>
  <c r="AE51" i="7"/>
  <c r="AE52" i="7" s="1"/>
  <c r="AF11" i="7"/>
  <c r="AE7" i="7"/>
  <c r="AE12" i="7" s="1"/>
  <c r="AF23" i="7"/>
  <c r="AC53" i="2"/>
  <c r="AD44" i="2"/>
  <c r="AD53" i="2" s="1"/>
  <c r="AE51" i="2"/>
  <c r="AE11" i="2"/>
  <c r="AE12" i="2" s="1"/>
  <c r="AE47" i="2"/>
  <c r="AF29" i="2"/>
  <c r="AH23" i="2"/>
  <c r="AF7" i="2"/>
  <c r="AE43" i="2"/>
  <c r="AE36" i="2"/>
  <c r="AG36" i="6"/>
  <c r="AF23" i="6"/>
  <c r="AE29" i="6"/>
  <c r="AE47" i="6"/>
  <c r="AE52" i="6" s="1"/>
  <c r="AE53" i="6" s="1"/>
  <c r="AF47" i="5"/>
  <c r="AF52" i="5" s="1"/>
  <c r="AF36" i="5"/>
  <c r="AE29" i="5"/>
  <c r="AE23" i="5"/>
  <c r="AG47" i="4"/>
  <c r="AG52" i="4" s="1"/>
  <c r="AF36" i="4"/>
  <c r="AE23" i="4"/>
  <c r="AF43" i="4"/>
  <c r="AF44" i="4" s="1"/>
  <c r="AF53" i="4" s="1"/>
  <c r="AF29" i="4"/>
  <c r="AE43" i="4"/>
  <c r="AE44" i="4" s="1"/>
  <c r="AE53" i="4" s="1"/>
  <c r="AF53" i="9" l="1"/>
  <c r="AE52" i="2"/>
  <c r="AF44" i="8"/>
  <c r="AF53" i="8" s="1"/>
  <c r="AE44" i="7"/>
  <c r="AE53" i="7" s="1"/>
  <c r="AG47" i="10"/>
  <c r="AG52" i="10" s="1"/>
  <c r="AF23" i="10"/>
  <c r="AF43" i="10"/>
  <c r="AF44" i="10" s="1"/>
  <c r="AF53" i="10" s="1"/>
  <c r="AG36" i="10"/>
  <c r="AG29" i="10"/>
  <c r="AG23" i="9"/>
  <c r="AG47" i="9"/>
  <c r="AG52" i="9" s="1"/>
  <c r="AF29" i="9"/>
  <c r="AG36" i="9"/>
  <c r="AG43" i="9"/>
  <c r="AG44" i="9" s="1"/>
  <c r="AG53" i="9" s="1"/>
  <c r="AH36" i="8"/>
  <c r="AG11" i="8"/>
  <c r="AG12" i="8" s="1"/>
  <c r="AG47" i="8"/>
  <c r="AG52" i="8" s="1"/>
  <c r="AG43" i="8"/>
  <c r="AF29" i="8"/>
  <c r="AG47" i="7"/>
  <c r="AF43" i="7"/>
  <c r="AF51" i="7"/>
  <c r="AF52" i="7" s="1"/>
  <c r="AG36" i="7"/>
  <c r="AG23" i="7"/>
  <c r="AF7" i="7"/>
  <c r="AF12" i="7" s="1"/>
  <c r="AH6" i="7"/>
  <c r="AG11" i="7"/>
  <c r="AG29" i="7"/>
  <c r="AE44" i="2"/>
  <c r="AF43" i="2"/>
  <c r="AG7" i="2"/>
  <c r="AI6" i="2"/>
  <c r="AG29" i="2"/>
  <c r="AI23" i="2"/>
  <c r="AF47" i="2"/>
  <c r="AF51" i="2"/>
  <c r="AF11" i="2"/>
  <c r="AF12" i="2" s="1"/>
  <c r="AF36" i="2"/>
  <c r="AF47" i="6"/>
  <c r="AF52" i="6" s="1"/>
  <c r="AG43" i="6"/>
  <c r="AG44" i="6" s="1"/>
  <c r="AF29" i="6"/>
  <c r="AG23" i="6"/>
  <c r="AF43" i="6"/>
  <c r="AF44" i="6" s="1"/>
  <c r="AH36" i="6"/>
  <c r="AF23" i="5"/>
  <c r="AF43" i="5"/>
  <c r="AF44" i="5" s="1"/>
  <c r="AF53" i="5" s="1"/>
  <c r="AG47" i="5"/>
  <c r="AG52" i="5" s="1"/>
  <c r="AF29" i="5"/>
  <c r="AG36" i="5"/>
  <c r="AG36" i="4"/>
  <c r="AI31" i="4"/>
  <c r="AG29" i="4"/>
  <c r="AF23" i="4"/>
  <c r="AH47" i="4"/>
  <c r="AH52" i="4" s="1"/>
  <c r="AG43" i="5" l="1"/>
  <c r="AG44" i="5" s="1"/>
  <c r="AE53" i="2"/>
  <c r="AF44" i="7"/>
  <c r="AF53" i="7" s="1"/>
  <c r="AF53" i="6"/>
  <c r="AG53" i="5"/>
  <c r="AF44" i="2"/>
  <c r="AH36" i="10"/>
  <c r="AG23" i="10"/>
  <c r="AG43" i="10"/>
  <c r="AG44" i="10" s="1"/>
  <c r="AG53" i="10" s="1"/>
  <c r="AH29" i="10"/>
  <c r="AH47" i="10"/>
  <c r="AH52" i="10" s="1"/>
  <c r="AH36" i="9"/>
  <c r="AH43" i="9"/>
  <c r="AH44" i="9" s="1"/>
  <c r="AG29" i="9"/>
  <c r="AH47" i="9"/>
  <c r="AH52" i="9" s="1"/>
  <c r="AH23" i="9"/>
  <c r="AG44" i="8"/>
  <c r="AG53" i="8" s="1"/>
  <c r="AH43" i="8"/>
  <c r="AG29" i="8"/>
  <c r="AH47" i="8"/>
  <c r="AH52" i="8" s="1"/>
  <c r="AH11" i="8"/>
  <c r="AH12" i="8" s="1"/>
  <c r="AI36" i="8"/>
  <c r="AG7" i="7"/>
  <c r="AG12" i="7" s="1"/>
  <c r="AH36" i="7"/>
  <c r="AG51" i="7"/>
  <c r="AG52" i="7" s="1"/>
  <c r="AH23" i="7"/>
  <c r="AH29" i="7"/>
  <c r="AG43" i="7"/>
  <c r="AH11" i="7"/>
  <c r="AH47" i="7"/>
  <c r="AG51" i="2"/>
  <c r="AG43" i="2"/>
  <c r="AF52" i="2"/>
  <c r="AJ23" i="2"/>
  <c r="AH29" i="2"/>
  <c r="AG36" i="2"/>
  <c r="AG11" i="2"/>
  <c r="AG12" i="2" s="1"/>
  <c r="AG47" i="2"/>
  <c r="AH7" i="2"/>
  <c r="AH43" i="6"/>
  <c r="AH44" i="6" s="1"/>
  <c r="AG29" i="6"/>
  <c r="AH23" i="6"/>
  <c r="AG47" i="6"/>
  <c r="AG52" i="6" s="1"/>
  <c r="AG53" i="6" s="1"/>
  <c r="AI36" i="6"/>
  <c r="AH36" i="5"/>
  <c r="AG23" i="5"/>
  <c r="AG29" i="5"/>
  <c r="AH47" i="5"/>
  <c r="AH52" i="5" s="1"/>
  <c r="AG23" i="4"/>
  <c r="AH43" i="4"/>
  <c r="AH44" i="4" s="1"/>
  <c r="AH53" i="4" s="1"/>
  <c r="AH29" i="4"/>
  <c r="AH36" i="4"/>
  <c r="AI47" i="4"/>
  <c r="AI52" i="4" s="1"/>
  <c r="AG43" i="4"/>
  <c r="AG44" i="4" s="1"/>
  <c r="AG53" i="4" s="1"/>
  <c r="AF53" i="2" l="1"/>
  <c r="AH53" i="9"/>
  <c r="AG52" i="2"/>
  <c r="AH23" i="10"/>
  <c r="AI47" i="10"/>
  <c r="AI52" i="10" s="1"/>
  <c r="AI36" i="10"/>
  <c r="AI29" i="10"/>
  <c r="AH43" i="10"/>
  <c r="AH44" i="10" s="1"/>
  <c r="AH53" i="10" s="1"/>
  <c r="AI47" i="9"/>
  <c r="AI52" i="9" s="1"/>
  <c r="AI23" i="9"/>
  <c r="AH29" i="9"/>
  <c r="AI43" i="9"/>
  <c r="AI44" i="9" s="1"/>
  <c r="AK31" i="9"/>
  <c r="AI36" i="9"/>
  <c r="AH44" i="8"/>
  <c r="AH53" i="8" s="1"/>
  <c r="AJ36" i="8"/>
  <c r="AI47" i="8"/>
  <c r="AI52" i="8" s="1"/>
  <c r="AI11" i="8"/>
  <c r="AI12" i="8" s="1"/>
  <c r="AH29" i="8"/>
  <c r="AI43" i="8"/>
  <c r="AH43" i="7"/>
  <c r="AI29" i="7"/>
  <c r="AH51" i="7"/>
  <c r="AH52" i="7" s="1"/>
  <c r="AG44" i="7"/>
  <c r="AG53" i="7" s="1"/>
  <c r="AI23" i="7"/>
  <c r="AI36" i="7"/>
  <c r="AI47" i="7"/>
  <c r="AI11" i="7"/>
  <c r="AH7" i="7"/>
  <c r="AH12" i="7" s="1"/>
  <c r="AG44" i="2"/>
  <c r="AH36" i="2"/>
  <c r="AI29" i="2"/>
  <c r="AK23" i="2"/>
  <c r="AH43" i="2"/>
  <c r="AH47" i="2"/>
  <c r="AH11" i="2"/>
  <c r="AH12" i="2" s="1"/>
  <c r="AI7" i="2"/>
  <c r="AH51" i="2"/>
  <c r="AH47" i="6"/>
  <c r="AH52" i="6" s="1"/>
  <c r="AH53" i="6" s="1"/>
  <c r="AJ36" i="6"/>
  <c r="AI23" i="6"/>
  <c r="AH29" i="6"/>
  <c r="AH23" i="5"/>
  <c r="AH29" i="5"/>
  <c r="AI47" i="5"/>
  <c r="AI52" i="5" s="1"/>
  <c r="AI36" i="5"/>
  <c r="AH43" i="5"/>
  <c r="AH44" i="5" s="1"/>
  <c r="AH53" i="5" s="1"/>
  <c r="AJ47" i="4"/>
  <c r="AJ52" i="4" s="1"/>
  <c r="AI36" i="4"/>
  <c r="AI29" i="4"/>
  <c r="AH23" i="4"/>
  <c r="AG53" i="2" l="1"/>
  <c r="AI43" i="5"/>
  <c r="AI44" i="5" s="1"/>
  <c r="AI53" i="5" s="1"/>
  <c r="AI53" i="9"/>
  <c r="AH44" i="7"/>
  <c r="AJ29" i="10"/>
  <c r="AM14" i="10"/>
  <c r="AJ36" i="10"/>
  <c r="AI23" i="10"/>
  <c r="AI43" i="10"/>
  <c r="AI44" i="10" s="1"/>
  <c r="AI53" i="10" s="1"/>
  <c r="AJ47" i="10"/>
  <c r="AJ52" i="10" s="1"/>
  <c r="AJ23" i="9"/>
  <c r="AJ36" i="9"/>
  <c r="AJ47" i="9"/>
  <c r="AJ52" i="9" s="1"/>
  <c r="AI29" i="9"/>
  <c r="AJ43" i="9"/>
  <c r="AJ44" i="9" s="1"/>
  <c r="AI44" i="8"/>
  <c r="AI53" i="8" s="1"/>
  <c r="AJ47" i="8"/>
  <c r="AJ52" i="8" s="1"/>
  <c r="AI29" i="8"/>
  <c r="AJ11" i="8"/>
  <c r="AJ12" i="8" s="1"/>
  <c r="AK36" i="8"/>
  <c r="AJ23" i="7"/>
  <c r="AJ36" i="7"/>
  <c r="AI7" i="7"/>
  <c r="AI12" i="7" s="1"/>
  <c r="AI43" i="7"/>
  <c r="AJ47" i="7"/>
  <c r="AI51" i="7"/>
  <c r="AI52" i="7" s="1"/>
  <c r="AJ29" i="7"/>
  <c r="AH53" i="7"/>
  <c r="AJ11" i="7"/>
  <c r="AH44" i="2"/>
  <c r="AH52" i="2"/>
  <c r="AJ7" i="2"/>
  <c r="AI11" i="2"/>
  <c r="AI12" i="2" s="1"/>
  <c r="AL23" i="2"/>
  <c r="AM23" i="2"/>
  <c r="AJ29" i="2"/>
  <c r="AI36" i="2"/>
  <c r="AI47" i="2"/>
  <c r="AI43" i="2"/>
  <c r="AI51" i="2"/>
  <c r="AI29" i="6"/>
  <c r="AJ43" i="6"/>
  <c r="AJ44" i="6" s="1"/>
  <c r="AJ23" i="6"/>
  <c r="AM31" i="6"/>
  <c r="AK36" i="6"/>
  <c r="AI47" i="6"/>
  <c r="AI52" i="6" s="1"/>
  <c r="AI43" i="6"/>
  <c r="AI44" i="6" s="1"/>
  <c r="AL14" i="6"/>
  <c r="AM14" i="6" s="1"/>
  <c r="AJ36" i="5"/>
  <c r="AJ47" i="5"/>
  <c r="AJ52" i="5" s="1"/>
  <c r="AI23" i="5"/>
  <c r="AI29" i="5"/>
  <c r="AI23" i="4"/>
  <c r="AJ43" i="4"/>
  <c r="AJ44" i="4" s="1"/>
  <c r="AJ53" i="4" s="1"/>
  <c r="AJ29" i="4"/>
  <c r="AJ36" i="4"/>
  <c r="AK47" i="4"/>
  <c r="AK52" i="4" s="1"/>
  <c r="AI43" i="4"/>
  <c r="AI44" i="4" s="1"/>
  <c r="AI53" i="4" s="1"/>
  <c r="AI52" i="2" l="1"/>
  <c r="AJ43" i="5"/>
  <c r="AJ44" i="5" s="1"/>
  <c r="AJ53" i="5" s="1"/>
  <c r="AJ53" i="9"/>
  <c r="AH53" i="2"/>
  <c r="AI53" i="6"/>
  <c r="AK29" i="10"/>
  <c r="AJ23" i="10"/>
  <c r="AK36" i="10"/>
  <c r="AK47" i="10"/>
  <c r="AK52" i="10" s="1"/>
  <c r="AJ43" i="10"/>
  <c r="AJ44" i="10" s="1"/>
  <c r="AJ53" i="10" s="1"/>
  <c r="AJ29" i="9"/>
  <c r="AK43" i="9"/>
  <c r="AK44" i="9" s="1"/>
  <c r="AK53" i="9" s="1"/>
  <c r="AK23" i="9"/>
  <c r="AK47" i="9"/>
  <c r="AK52" i="9" s="1"/>
  <c r="AK36" i="9"/>
  <c r="AL36" i="8"/>
  <c r="AM36" i="8"/>
  <c r="AK11" i="8"/>
  <c r="AK12" i="8" s="1"/>
  <c r="AJ29" i="8"/>
  <c r="AJ43" i="8"/>
  <c r="AJ44" i="8" s="1"/>
  <c r="AJ53" i="8" s="1"/>
  <c r="AK43" i="8"/>
  <c r="AK47" i="8"/>
  <c r="AK52" i="8" s="1"/>
  <c r="AK29" i="7"/>
  <c r="AJ43" i="7"/>
  <c r="AK36" i="7"/>
  <c r="AJ7" i="7"/>
  <c r="AJ12" i="7" s="1"/>
  <c r="AL6" i="7"/>
  <c r="AJ51" i="7"/>
  <c r="AJ52" i="7" s="1"/>
  <c r="AK47" i="7"/>
  <c r="AI44" i="7"/>
  <c r="AI53" i="7" s="1"/>
  <c r="AK11" i="7"/>
  <c r="AK23" i="7"/>
  <c r="AI44" i="2"/>
  <c r="AI53" i="2" s="1"/>
  <c r="AK29" i="2"/>
  <c r="AK7" i="2"/>
  <c r="AM6" i="2"/>
  <c r="AJ47" i="2"/>
  <c r="AJ36" i="2"/>
  <c r="AJ11" i="2"/>
  <c r="AJ12" i="2" s="1"/>
  <c r="AJ51" i="2"/>
  <c r="AJ43" i="2"/>
  <c r="AJ47" i="6"/>
  <c r="AJ52" i="6" s="1"/>
  <c r="AJ53" i="6" s="1"/>
  <c r="AK23" i="6"/>
  <c r="AJ29" i="6"/>
  <c r="AL36" i="6"/>
  <c r="AM36" i="6"/>
  <c r="AJ23" i="5"/>
  <c r="AJ29" i="5"/>
  <c r="AK47" i="5"/>
  <c r="AK52" i="5" s="1"/>
  <c r="AK36" i="5"/>
  <c r="AL47" i="4"/>
  <c r="AL52" i="4" s="1"/>
  <c r="AM47" i="4"/>
  <c r="AM52" i="4" s="1"/>
  <c r="AK36" i="4"/>
  <c r="AK29" i="4"/>
  <c r="AK43" i="4"/>
  <c r="AK44" i="4" s="1"/>
  <c r="AK53" i="4" s="1"/>
  <c r="AJ23" i="4"/>
  <c r="AK43" i="5" l="1"/>
  <c r="AK44" i="5" s="1"/>
  <c r="AK53" i="5" s="1"/>
  <c r="AJ44" i="7"/>
  <c r="AJ53" i="7" s="1"/>
  <c r="AL29" i="10"/>
  <c r="AM29" i="10"/>
  <c r="AK23" i="10"/>
  <c r="AL43" i="10"/>
  <c r="AL44" i="10" s="1"/>
  <c r="AK43" i="10"/>
  <c r="AK44" i="10" s="1"/>
  <c r="AK53" i="10" s="1"/>
  <c r="AL47" i="10"/>
  <c r="AL52" i="10" s="1"/>
  <c r="AM47" i="10"/>
  <c r="AM52" i="10" s="1"/>
  <c r="AL36" i="10"/>
  <c r="AM36" i="10"/>
  <c r="AL36" i="9"/>
  <c r="AK29" i="9"/>
  <c r="AL43" i="9"/>
  <c r="AL44" i="9" s="1"/>
  <c r="AL47" i="9"/>
  <c r="AL52" i="9" s="1"/>
  <c r="AM47" i="9"/>
  <c r="AM52" i="9" s="1"/>
  <c r="AL23" i="9"/>
  <c r="AM23" i="9"/>
  <c r="AL47" i="8"/>
  <c r="AL52" i="8" s="1"/>
  <c r="AM47" i="8"/>
  <c r="AM52" i="8" s="1"/>
  <c r="AK44" i="8"/>
  <c r="AK53" i="8" s="1"/>
  <c r="AL11" i="8"/>
  <c r="AL12" i="8" s="1"/>
  <c r="AM11" i="8"/>
  <c r="AM12" i="8" s="1"/>
  <c r="AK29" i="8"/>
  <c r="AK51" i="7"/>
  <c r="AK52" i="7" s="1"/>
  <c r="AK7" i="7"/>
  <c r="AK12" i="7" s="1"/>
  <c r="AM36" i="7"/>
  <c r="AL36" i="7"/>
  <c r="AL11" i="7"/>
  <c r="AM11" i="7"/>
  <c r="AK43" i="7"/>
  <c r="AL47" i="7"/>
  <c r="AM47" i="7"/>
  <c r="AL23" i="7"/>
  <c r="AM23" i="7"/>
  <c r="AM29" i="7"/>
  <c r="AL29" i="7"/>
  <c r="AJ44" i="2"/>
  <c r="AK11" i="2"/>
  <c r="AK12" i="2" s="1"/>
  <c r="AK51" i="2"/>
  <c r="AK36" i="2"/>
  <c r="AK47" i="2"/>
  <c r="AL7" i="2"/>
  <c r="AM7" i="2"/>
  <c r="AM29" i="2"/>
  <c r="AL29" i="2"/>
  <c r="AK43" i="2"/>
  <c r="AJ52" i="2"/>
  <c r="AK29" i="6"/>
  <c r="AL43" i="6"/>
  <c r="AL44" i="6" s="1"/>
  <c r="AK43" i="6"/>
  <c r="AK44" i="6" s="1"/>
  <c r="AL23" i="6"/>
  <c r="AM23" i="6"/>
  <c r="AK47" i="6"/>
  <c r="AK52" i="6" s="1"/>
  <c r="AL36" i="5"/>
  <c r="AM36" i="5"/>
  <c r="AL47" i="5"/>
  <c r="AL52" i="5" s="1"/>
  <c r="AK29" i="5"/>
  <c r="AK23" i="5"/>
  <c r="AM29" i="4"/>
  <c r="AL29" i="4"/>
  <c r="AM36" i="4"/>
  <c r="AL36" i="4"/>
  <c r="AL43" i="4"/>
  <c r="AL44" i="4" s="1"/>
  <c r="AL53" i="4" s="1"/>
  <c r="AK23" i="4"/>
  <c r="AJ53" i="2" l="1"/>
  <c r="AL53" i="9"/>
  <c r="AK52" i="2"/>
  <c r="AL53" i="10"/>
  <c r="AL23" i="10"/>
  <c r="AM23" i="10"/>
  <c r="AL29" i="9"/>
  <c r="AM29" i="9"/>
  <c r="AM36" i="9"/>
  <c r="AL29" i="8"/>
  <c r="AM29" i="8"/>
  <c r="AL43" i="8"/>
  <c r="AL44" i="8" s="1"/>
  <c r="AL53" i="8" s="1"/>
  <c r="AL51" i="7"/>
  <c r="AL52" i="7" s="1"/>
  <c r="AM51" i="7"/>
  <c r="AM52" i="7" s="1"/>
  <c r="AL43" i="7"/>
  <c r="AM43" i="7"/>
  <c r="AM7" i="7"/>
  <c r="AM12" i="7" s="1"/>
  <c r="AL7" i="7"/>
  <c r="AL12" i="7" s="1"/>
  <c r="AK44" i="7"/>
  <c r="AK53" i="7" s="1"/>
  <c r="AK44" i="2"/>
  <c r="AL36" i="2"/>
  <c r="AM36" i="2"/>
  <c r="AL43" i="2"/>
  <c r="AL47" i="2"/>
  <c r="AL51" i="2"/>
  <c r="AM51" i="2"/>
  <c r="AL11" i="2"/>
  <c r="AL12" i="2" s="1"/>
  <c r="AM11" i="2"/>
  <c r="AM12" i="2" s="1"/>
  <c r="AL47" i="6"/>
  <c r="AL52" i="6" s="1"/>
  <c r="AL53" i="6" s="1"/>
  <c r="AL29" i="6"/>
  <c r="AM29" i="6"/>
  <c r="AK53" i="6"/>
  <c r="AL23" i="5"/>
  <c r="AM23" i="5"/>
  <c r="AL29" i="5"/>
  <c r="AM29" i="5"/>
  <c r="AL43" i="5"/>
  <c r="AL44" i="5" s="1"/>
  <c r="AL53" i="5" s="1"/>
  <c r="AM47" i="5"/>
  <c r="AM52" i="5" s="1"/>
  <c r="AM23" i="4"/>
  <c r="AL23" i="4"/>
  <c r="AK53" i="2" l="1"/>
  <c r="AM43" i="2"/>
  <c r="AM44" i="2" s="1"/>
  <c r="AM43" i="9"/>
  <c r="AM44" i="9" s="1"/>
  <c r="AM53" i="9" s="1"/>
  <c r="AM43" i="4"/>
  <c r="AM44" i="4" s="1"/>
  <c r="AM53" i="4" s="1"/>
  <c r="AL44" i="7"/>
  <c r="AL53" i="7" s="1"/>
  <c r="AM44" i="7"/>
  <c r="AM53" i="7" s="1"/>
  <c r="AM43" i="10"/>
  <c r="AM44" i="10" s="1"/>
  <c r="AM53" i="10" s="1"/>
  <c r="AM43" i="8"/>
  <c r="AM44" i="8" s="1"/>
  <c r="AM53" i="8" s="1"/>
  <c r="AL44" i="2"/>
  <c r="AM47" i="2"/>
  <c r="AM52" i="2" s="1"/>
  <c r="AL52" i="2"/>
  <c r="AM47" i="6"/>
  <c r="AM52" i="6" s="1"/>
  <c r="AM43" i="6"/>
  <c r="AM44" i="6" s="1"/>
  <c r="AM43" i="5"/>
  <c r="AM44" i="5" s="1"/>
  <c r="AM53" i="5" s="1"/>
  <c r="AL53" i="2" l="1"/>
  <c r="AM53" i="2"/>
  <c r="AM5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6B8981-AA60-4810-8685-184B8BEF8D7E}" keepAlive="1" name="Query - CS_Actuals" description="Connection to the 'CS_Actuals' query in the workbook." type="5" refreshedVersion="8" background="1" saveData="1">
    <dbPr connection="Provider=Microsoft.Mashup.OleDb.1;Data Source=$Workbook$;Location=CS_Actuals;Extended Properties=&quot;&quot;" command="SELECT * FROM [CS_Actuals]"/>
  </connection>
  <connection id="2" xr16:uid="{E70DC228-1916-47DD-938C-A0548FA2DADE}" keepAlive="1" name="Query - CS_Budget" description="Connection to the 'CS_Budget' query in the workbook." type="5" refreshedVersion="8" background="1" saveData="1">
    <dbPr connection="Provider=Microsoft.Mashup.OleDb.1;Data Source=$Workbook$;Location=CS_Budget;Extended Properties=&quot;&quot;" command="SELECT * FROM [CS_Budget]"/>
  </connection>
  <connection id="3" xr16:uid="{CEEE08B9-5AC9-47D7-AF0C-43A4E17429CA}" keepAlive="1" name="Query - Departmental Profit and Loss" description="Connection to the 'Departmental Profit and Loss' query in the workbook." type="5" refreshedVersion="8" background="1" saveData="1">
    <dbPr connection="Provider=Microsoft.Mashup.OleDb.1;Data Source=$Workbook$;Location=&quot;Departmental Profit and Loss&quot;;Extended Properties=&quot;&quot;" command="SELECT * FROM [Departmental Profit and Loss]"/>
  </connection>
  <connection id="4" xr16:uid="{34D5979D-51E7-4F9C-8FD3-8730139DD354}" keepAlive="1" name="Query - Departmental Profit and Loss_Budget" description="Connection to the 'Departmental Profit and Loss_Budget' query in the workbook." type="5" refreshedVersion="8" background="1" saveData="1">
    <dbPr connection="Provider=Microsoft.Mashup.OleDb.1;Data Source=$Workbook$;Location=&quot;Departmental Profit and Loss_Budget&quot;;Extended Properties=&quot;&quot;" command="SELECT * FROM [Departmental Profit and Loss_Budget]"/>
  </connection>
  <connection id="5" xr16:uid="{C29DA8BF-2652-4F81-A269-F8B61A183CF6}" keepAlive="1" name="Query - G&amp;A_Actuals" description="Connection to the 'G&amp;A_Actuals' query in the workbook." type="5" refreshedVersion="8" background="1" saveData="1">
    <dbPr connection="Provider=Microsoft.Mashup.OleDb.1;Data Source=$Workbook$;Location=G&amp;A_Actuals;Extended Properties=&quot;&quot;" command="SELECT * FROM [G&amp;A_Actuals]"/>
  </connection>
  <connection id="6" xr16:uid="{6A688217-600C-49E2-8F99-338BA36F72E0}" keepAlive="1" name="Query - G&amp;A_Budget" description="Connection to the 'G&amp;A_Budget' query in the workbook." type="5" refreshedVersion="8" background="1" saveData="1">
    <dbPr connection="Provider=Microsoft.Mashup.OleDb.1;Data Source=$Workbook$;Location=G&amp;A_Budget;Extended Properties=&quot;&quot;" command="SELECT * FROM [G&amp;A_Budget]"/>
  </connection>
  <connection id="7" xr16:uid="{D8AEABDD-BAA9-4841-B97D-DE8464BBB7B9}" keepAlive="1" name="Query - R&amp;D_Actuals" description="Connection to the 'R&amp;D_Actuals' query in the workbook." type="5" refreshedVersion="8" background="1" saveData="1">
    <dbPr connection="Provider=Microsoft.Mashup.OleDb.1;Data Source=$Workbook$;Location=R&amp;D_Actuals;Extended Properties=&quot;&quot;" command="SELECT * FROM [R&amp;D_Actuals]"/>
  </connection>
  <connection id="8" xr16:uid="{52983CA7-7B6F-42FC-986E-CCE029418702}" keepAlive="1" name="Query - R&amp;D_Budget" description="Connection to the 'R&amp;D_Budget' query in the workbook." type="5" refreshedVersion="8" background="1" saveData="1">
    <dbPr connection="Provider=Microsoft.Mashup.OleDb.1;Data Source=$Workbook$;Location=R&amp;D_Budget;Extended Properties=&quot;&quot;" command="SELECT * FROM [R&amp;D_Budget]"/>
  </connection>
  <connection id="9" xr16:uid="{EEA5C901-00E1-47DD-BBE6-62AE34B9B8E3}" keepAlive="1" name="Query - S&amp;M_Actuals" description="Connection to the 'S&amp;M_Actuals' query in the workbook." type="5" refreshedVersion="8" background="1" saveData="1">
    <dbPr connection="Provider=Microsoft.Mashup.OleDb.1;Data Source=$Workbook$;Location=S&amp;M_Actuals;Extended Properties=&quot;&quot;" command="SELECT * FROM [S&amp;M_Actuals]"/>
  </connection>
  <connection id="10" xr16:uid="{0FEAAE06-31B6-4957-B1BF-9C4A0CA72414}" keepAlive="1" name="Query - S&amp;M_Budget" description="Connection to the 'S&amp;M_Budget' query in the workbook." type="5" refreshedVersion="8" background="1" saveData="1">
    <dbPr connection="Provider=Microsoft.Mashup.OleDb.1;Data Source=$Workbook$;Location=S&amp;M_Budget;Extended Properties=&quot;&quot;" command="SELECT * FROM [S&amp;M_Budget]"/>
  </connection>
</connections>
</file>

<file path=xl/sharedStrings.xml><?xml version="1.0" encoding="utf-8"?>
<sst xmlns="http://schemas.openxmlformats.org/spreadsheetml/2006/main" count="952" uniqueCount="57">
  <si>
    <t>Income Statement</t>
  </si>
  <si>
    <t>Your CFO Guy</t>
  </si>
  <si>
    <t>General &amp; Admnistrative</t>
  </si>
  <si>
    <t>Revenue</t>
  </si>
  <si>
    <t>Sales</t>
  </si>
  <si>
    <t>Total Revenue</t>
  </si>
  <si>
    <t>Cost of Goods Sold</t>
  </si>
  <si>
    <t>Web Domain &amp; Hosting Fees</t>
  </si>
  <si>
    <t>Merchant Account Fees</t>
  </si>
  <si>
    <t>Total Cost of Goods Sold</t>
  </si>
  <si>
    <t>Gross Profit</t>
  </si>
  <si>
    <t>Expenses</t>
  </si>
  <si>
    <t>Advertising &amp; Marketing</t>
  </si>
  <si>
    <t>Bank Charges &amp; Fees</t>
  </si>
  <si>
    <t>Conferences &amp; Events</t>
  </si>
  <si>
    <t>Software &amp; Apps</t>
  </si>
  <si>
    <t>Insurance</t>
  </si>
  <si>
    <t>Office Expenses</t>
  </si>
  <si>
    <t>Office Supplies</t>
  </si>
  <si>
    <t>Rent &amp; Lease</t>
  </si>
  <si>
    <t>Utilities</t>
  </si>
  <si>
    <t>Total Office Expenses</t>
  </si>
  <si>
    <t>Professional Services</t>
  </si>
  <si>
    <t>Accounting Fees</t>
  </si>
  <si>
    <t>Consulting Fees</t>
  </si>
  <si>
    <t>Legal Fees</t>
  </si>
  <si>
    <t>Recruiting Fees</t>
  </si>
  <si>
    <t>Total Professional Services</t>
  </si>
  <si>
    <t>Payroll Expenses</t>
  </si>
  <si>
    <t>Salary &amp; Wages</t>
  </si>
  <si>
    <t>Payroll Taxes</t>
  </si>
  <si>
    <t>Health Insurance</t>
  </si>
  <si>
    <t>Payroll Processing Fees</t>
  </si>
  <si>
    <t>Commissions Expense</t>
  </si>
  <si>
    <t>Total Payroll Expenses</t>
  </si>
  <si>
    <t>Taxes &amp; Licenses</t>
  </si>
  <si>
    <t>Travel, Meals &amp; Entertainment</t>
  </si>
  <si>
    <t>Lodging</t>
  </si>
  <si>
    <t>Meals &amp; Entertainment</t>
  </si>
  <si>
    <t>Travel</t>
  </si>
  <si>
    <t>Total Travel, Meals &amp; Entertainment</t>
  </si>
  <si>
    <t>Total Expenses</t>
  </si>
  <si>
    <t>Net Operating Income</t>
  </si>
  <si>
    <t>Other Income</t>
  </si>
  <si>
    <t>Interest Income</t>
  </si>
  <si>
    <t>Total Other Income</t>
  </si>
  <si>
    <t>Other Expenses</t>
  </si>
  <si>
    <t>Depreciation Expense</t>
  </si>
  <si>
    <t>Interest Expense</t>
  </si>
  <si>
    <t>Total Other Expenses</t>
  </si>
  <si>
    <t>Net Other Income</t>
  </si>
  <si>
    <t>Net Income</t>
  </si>
  <si>
    <t>Value Row</t>
  </si>
  <si>
    <t>Summation Row</t>
  </si>
  <si>
    <t>Research &amp; Development</t>
  </si>
  <si>
    <t>Customer Support</t>
  </si>
  <si>
    <t>Sales &amp;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</si>
</sst>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* #,##0\ _€"/>
    <numFmt numFmtId="166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0070C0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rgb="FF9C0006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rgb="FF38434D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FCED"/>
        <bgColor indexed="64"/>
      </patternFill>
    </fill>
    <fill>
      <patternFill patternType="solid">
        <fgColor theme="6"/>
      </patternFill>
    </fill>
    <fill>
      <patternFill patternType="solid">
        <fgColor rgb="FFFFD9DE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theme="1"/>
      </bottom>
      <diagonal/>
    </border>
    <border>
      <left/>
      <right/>
      <top/>
      <bottom style="thin">
        <color theme="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5" borderId="0" applyNumberFormat="0" applyBorder="0" applyAlignment="0" applyProtection="0"/>
    <xf numFmtId="0" fontId="13" fillId="2" borderId="3" applyNumberFormat="0" applyAlignment="0" applyProtection="0"/>
    <xf numFmtId="0" fontId="12" fillId="6" borderId="3" applyNumberFormat="0" applyAlignment="0" applyProtection="0"/>
    <xf numFmtId="49" fontId="1" fillId="0" borderId="4" applyFill="0" applyAlignment="0" applyProtection="0"/>
    <xf numFmtId="0" fontId="10" fillId="0" borderId="5" applyNumberFormat="0" applyFill="0" applyAlignment="0" applyProtection="0"/>
    <xf numFmtId="0" fontId="1" fillId="4" borderId="0" applyNumberFormat="0" applyBorder="0" applyAlignment="0" applyProtection="0"/>
    <xf numFmtId="0" fontId="5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164" fontId="0" fillId="0" borderId="0" xfId="2" applyNumberFormat="1" applyFont="1" applyFill="1" applyProtection="1"/>
    <xf numFmtId="0" fontId="6" fillId="0" borderId="0" xfId="0" applyFont="1"/>
    <xf numFmtId="0" fontId="7" fillId="0" borderId="0" xfId="0" applyFont="1"/>
    <xf numFmtId="0" fontId="9" fillId="0" borderId="0" xfId="0" applyFont="1"/>
    <xf numFmtId="14" fontId="8" fillId="0" borderId="2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64" fontId="2" fillId="0" borderId="0" xfId="2" quotePrefix="1" applyNumberFormat="1" applyFont="1" applyFill="1" applyBorder="1" applyProtection="1"/>
    <xf numFmtId="164" fontId="0" fillId="0" borderId="0" xfId="0" applyNumberFormat="1"/>
    <xf numFmtId="166" fontId="4" fillId="0" borderId="0" xfId="1" quotePrefix="1" applyNumberFormat="1" applyFont="1" applyFill="1" applyBorder="1" applyProtection="1"/>
    <xf numFmtId="164" fontId="3" fillId="0" borderId="0" xfId="2" quotePrefix="1" applyNumberFormat="1" applyFont="1" applyFill="1" applyBorder="1" applyProtection="1"/>
    <xf numFmtId="164" fontId="1" fillId="0" borderId="0" xfId="2" quotePrefix="1" applyNumberFormat="1" applyFont="1" applyFill="1" applyBorder="1" applyProtection="1"/>
    <xf numFmtId="164" fontId="3" fillId="0" borderId="0" xfId="0" applyNumberFormat="1" applyFont="1"/>
    <xf numFmtId="165" fontId="3" fillId="0" borderId="0" xfId="0" applyNumberFormat="1" applyFont="1"/>
    <xf numFmtId="164" fontId="3" fillId="0" borderId="1" xfId="2" quotePrefix="1" applyNumberFormat="1" applyFont="1" applyFill="1" applyBorder="1" applyProtection="1"/>
    <xf numFmtId="1" fontId="0" fillId="0" borderId="0" xfId="2" applyNumberFormat="1" applyFont="1" applyFill="1" applyProtection="1"/>
    <xf numFmtId="42" fontId="0" fillId="0" borderId="0" xfId="2" applyNumberFormat="1" applyFont="1" applyFill="1" applyProtection="1"/>
    <xf numFmtId="0" fontId="2" fillId="0" borderId="0" xfId="0" applyFont="1" applyAlignment="1">
      <alignment horizontal="left" indent="1"/>
    </xf>
    <xf numFmtId="166" fontId="6" fillId="0" borderId="0" xfId="1" quotePrefix="1" applyNumberFormat="1" applyFont="1" applyFill="1" applyBorder="1" applyProtection="1"/>
    <xf numFmtId="0" fontId="6" fillId="0" borderId="0" xfId="0" applyFont="1" applyAlignment="1">
      <alignment horizontal="left" indent="1"/>
    </xf>
    <xf numFmtId="165" fontId="6" fillId="0" borderId="0" xfId="0" applyNumberFormat="1" applyFont="1"/>
    <xf numFmtId="164" fontId="6" fillId="0" borderId="0" xfId="0" applyNumberFormat="1" applyFont="1"/>
    <xf numFmtId="166" fontId="7" fillId="0" borderId="0" xfId="1" quotePrefix="1" applyNumberFormat="1" applyFont="1" applyFill="1" applyBorder="1" applyProtection="1"/>
    <xf numFmtId="164" fontId="7" fillId="0" borderId="0" xfId="0" applyNumberFormat="1" applyFont="1"/>
  </cellXfs>
  <cellStyles count="11">
    <cellStyle name="Accent3" xfId="9" builtinId="37" customBuiltin="1"/>
    <cellStyle name="Bad" xfId="4" builtinId="27" customBuiltin="1"/>
    <cellStyle name="Calculation" xfId="6" builtinId="22" customBuiltin="1"/>
    <cellStyle name="Comma" xfId="1" builtinId="3"/>
    <cellStyle name="Currency" xfId="2" builtinId="4"/>
    <cellStyle name="Input" xfId="5" builtinId="20" customBuiltin="1"/>
    <cellStyle name="Linked Cell" xfId="7" builtinId="24" customBuiltin="1"/>
    <cellStyle name="Normal" xfId="0" builtinId="0"/>
    <cellStyle name="Normal 2 3" xfId="10" xr:uid="{0C5D9347-97B6-4E30-93DA-71E0934428BB}"/>
    <cellStyle name="Title" xfId="3" builtinId="15" customBuiltin="1"/>
    <cellStyle name="Total" xfId="8" builtinId="25" customBuiltin="1"/>
  </cellStyles>
  <dxfs count="4"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color rgb="FF38434D"/>
      </font>
      <fill>
        <patternFill patternType="solid">
          <bgColor rgb="FF38434D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38434D"/>
        </patternFill>
      </fill>
    </dxf>
    <dxf>
      <fill>
        <patternFill patternType="none">
          <bgColor auto="1"/>
        </patternFill>
      </fill>
    </dxf>
  </dxfs>
  <tableStyles count="5" defaultTableStyle="TableStyleMedium2" defaultPivotStyle="PivotStyleLight16">
    <tableStyle name="Slicer Style 1" pivot="0" table="0" count="1" xr9:uid="{3E2F70BC-4770-47E9-BE2D-9DF2CA5EBA0E}">
      <tableStyleElement type="wholeTable" dxfId="3"/>
    </tableStyle>
    <tableStyle name="Slicer Style 2" pivot="0" table="0" count="0" xr9:uid="{9F175CA9-D9FF-4933-9691-71D3C999565D}"/>
    <tableStyle name="Slicer Style 3" pivot="0" table="0" count="1" xr9:uid="{FAC9B109-D018-4BB3-B314-FD48429B58E0}">
      <tableStyleElement type="wholeTable" dxfId="2"/>
    </tableStyle>
    <tableStyle name="Slicer Style 4" pivot="0" table="0" count="1" xr9:uid="{2E614238-AAE7-4472-B018-CE878F5923DD}"/>
    <tableStyle name="SlicerStyleLight1 2" pivot="0" table="0" count="10" xr9:uid="{F5A93412-DD9C-4FA1-BC34-2A18CD5E0447}">
      <tableStyleElement type="wholeTable" dxfId="1"/>
      <tableStyleElement type="headerRow" dxfId="0"/>
    </tableStyle>
  </tableStyles>
  <colors>
    <mruColors>
      <color rgb="FF38434D"/>
      <color rgb="FFA8A788"/>
      <color rgb="FFEAE9CB"/>
      <color rgb="FFFDFCED"/>
      <color rgb="FFFFD9DE"/>
      <color rgb="FFFBFBFB"/>
      <color rgb="FFF9F8E7"/>
      <color rgb="FF718597"/>
      <color rgb="FFF7F6DE"/>
      <color rgb="FFABAEA4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9F8E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718597"/>
          </font>
          <fill>
            <patternFill patternType="solid">
              <fgColor theme="4" tint="0.79995117038483843"/>
              <bgColor rgb="FFF2F0CA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718597"/>
          </font>
          <fill>
            <patternFill patternType="solid">
              <fgColor rgb="FFFFFFFF"/>
              <bgColor rgb="FFABAEA4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ABAEA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F7F6DE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>
          <x14:slicerStyleElements>
            <x14:slicerStyleElement type="selectedItemWith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104.xml"/><Relationship Id="rId21" Type="http://schemas.openxmlformats.org/officeDocument/2006/relationships/customXml" Target="../customXml/item8.xml"/><Relationship Id="rId42" Type="http://schemas.openxmlformats.org/officeDocument/2006/relationships/customXml" Target="../customXml/item29.xml"/><Relationship Id="rId63" Type="http://schemas.openxmlformats.org/officeDocument/2006/relationships/customXml" Target="../customXml/item50.xml"/><Relationship Id="rId84" Type="http://schemas.openxmlformats.org/officeDocument/2006/relationships/customXml" Target="../customXml/item71.xml"/><Relationship Id="rId138" Type="http://schemas.openxmlformats.org/officeDocument/2006/relationships/customXml" Target="../customXml/item125.xml"/><Relationship Id="rId159" Type="http://schemas.openxmlformats.org/officeDocument/2006/relationships/customXml" Target="../customXml/item146.xml"/><Relationship Id="rId170" Type="http://schemas.openxmlformats.org/officeDocument/2006/relationships/customXml" Target="../customXml/item157.xml"/><Relationship Id="rId191" Type="http://schemas.openxmlformats.org/officeDocument/2006/relationships/customXml" Target="../customXml/item178.xml"/><Relationship Id="rId107" Type="http://schemas.openxmlformats.org/officeDocument/2006/relationships/customXml" Target="../customXml/item94.xml"/><Relationship Id="rId11" Type="http://schemas.openxmlformats.org/officeDocument/2006/relationships/styles" Target="styles.xml"/><Relationship Id="rId32" Type="http://schemas.openxmlformats.org/officeDocument/2006/relationships/customXml" Target="../customXml/item19.xml"/><Relationship Id="rId53" Type="http://schemas.openxmlformats.org/officeDocument/2006/relationships/customXml" Target="../customXml/item40.xml"/><Relationship Id="rId74" Type="http://schemas.openxmlformats.org/officeDocument/2006/relationships/customXml" Target="../customXml/item61.xml"/><Relationship Id="rId128" Type="http://schemas.openxmlformats.org/officeDocument/2006/relationships/customXml" Target="../customXml/item115.xml"/><Relationship Id="rId149" Type="http://schemas.openxmlformats.org/officeDocument/2006/relationships/customXml" Target="../customXml/item136.xml"/><Relationship Id="rId5" Type="http://schemas.openxmlformats.org/officeDocument/2006/relationships/worksheet" Target="worksheets/sheet5.xml"/><Relationship Id="rId95" Type="http://schemas.openxmlformats.org/officeDocument/2006/relationships/customXml" Target="../customXml/item82.xml"/><Relationship Id="rId160" Type="http://schemas.openxmlformats.org/officeDocument/2006/relationships/customXml" Target="../customXml/item147.xml"/><Relationship Id="rId181" Type="http://schemas.openxmlformats.org/officeDocument/2006/relationships/customXml" Target="../customXml/item168.xml"/><Relationship Id="rId22" Type="http://schemas.openxmlformats.org/officeDocument/2006/relationships/customXml" Target="../customXml/item9.xml"/><Relationship Id="rId43" Type="http://schemas.openxmlformats.org/officeDocument/2006/relationships/customXml" Target="../customXml/item30.xml"/><Relationship Id="rId64" Type="http://schemas.openxmlformats.org/officeDocument/2006/relationships/customXml" Target="../customXml/item51.xml"/><Relationship Id="rId118" Type="http://schemas.openxmlformats.org/officeDocument/2006/relationships/customXml" Target="../customXml/item105.xml"/><Relationship Id="rId139" Type="http://schemas.openxmlformats.org/officeDocument/2006/relationships/customXml" Target="../customXml/item126.xml"/><Relationship Id="rId85" Type="http://schemas.openxmlformats.org/officeDocument/2006/relationships/customXml" Target="../customXml/item72.xml"/><Relationship Id="rId150" Type="http://schemas.openxmlformats.org/officeDocument/2006/relationships/customXml" Target="../customXml/item137.xml"/><Relationship Id="rId171" Type="http://schemas.openxmlformats.org/officeDocument/2006/relationships/customXml" Target="../customXml/item158.xml"/><Relationship Id="rId192" Type="http://schemas.openxmlformats.org/officeDocument/2006/relationships/customXml" Target="../customXml/item179.xml"/><Relationship Id="rId12" Type="http://schemas.openxmlformats.org/officeDocument/2006/relationships/sharedStrings" Target="sharedStrings.xml"/><Relationship Id="rId33" Type="http://schemas.openxmlformats.org/officeDocument/2006/relationships/customXml" Target="../customXml/item20.xml"/><Relationship Id="rId108" Type="http://schemas.openxmlformats.org/officeDocument/2006/relationships/customXml" Target="../customXml/item95.xml"/><Relationship Id="rId129" Type="http://schemas.openxmlformats.org/officeDocument/2006/relationships/customXml" Target="../customXml/item116.xml"/><Relationship Id="rId54" Type="http://schemas.openxmlformats.org/officeDocument/2006/relationships/customXml" Target="../customXml/item41.xml"/><Relationship Id="rId75" Type="http://schemas.openxmlformats.org/officeDocument/2006/relationships/customXml" Target="../customXml/item62.xml"/><Relationship Id="rId96" Type="http://schemas.openxmlformats.org/officeDocument/2006/relationships/customXml" Target="../customXml/item83.xml"/><Relationship Id="rId140" Type="http://schemas.openxmlformats.org/officeDocument/2006/relationships/customXml" Target="../customXml/item127.xml"/><Relationship Id="rId161" Type="http://schemas.openxmlformats.org/officeDocument/2006/relationships/customXml" Target="../customXml/item148.xml"/><Relationship Id="rId182" Type="http://schemas.openxmlformats.org/officeDocument/2006/relationships/customXml" Target="../customXml/item169.xml"/><Relationship Id="rId6" Type="http://schemas.openxmlformats.org/officeDocument/2006/relationships/worksheet" Target="worksheets/sheet6.xml"/><Relationship Id="rId23" Type="http://schemas.openxmlformats.org/officeDocument/2006/relationships/customXml" Target="../customXml/item10.xml"/><Relationship Id="rId119" Type="http://schemas.openxmlformats.org/officeDocument/2006/relationships/customXml" Target="../customXml/item106.xml"/><Relationship Id="rId44" Type="http://schemas.openxmlformats.org/officeDocument/2006/relationships/customXml" Target="../customXml/item31.xml"/><Relationship Id="rId65" Type="http://schemas.openxmlformats.org/officeDocument/2006/relationships/customXml" Target="../customXml/item52.xml"/><Relationship Id="rId86" Type="http://schemas.openxmlformats.org/officeDocument/2006/relationships/customXml" Target="../customXml/item73.xml"/><Relationship Id="rId130" Type="http://schemas.openxmlformats.org/officeDocument/2006/relationships/customXml" Target="../customXml/item117.xml"/><Relationship Id="rId151" Type="http://schemas.openxmlformats.org/officeDocument/2006/relationships/customXml" Target="../customXml/item138.xml"/><Relationship Id="rId172" Type="http://schemas.openxmlformats.org/officeDocument/2006/relationships/customXml" Target="../customXml/item159.xml"/><Relationship Id="rId193" Type="http://schemas.openxmlformats.org/officeDocument/2006/relationships/customXml" Target="../customXml/item180.xml"/><Relationship Id="rId13" Type="http://schemas.openxmlformats.org/officeDocument/2006/relationships/calcChain" Target="calcChain.xml"/><Relationship Id="rId109" Type="http://schemas.openxmlformats.org/officeDocument/2006/relationships/customXml" Target="../customXml/item96.xml"/><Relationship Id="rId34" Type="http://schemas.openxmlformats.org/officeDocument/2006/relationships/customXml" Target="../customXml/item21.xml"/><Relationship Id="rId55" Type="http://schemas.openxmlformats.org/officeDocument/2006/relationships/customXml" Target="../customXml/item42.xml"/><Relationship Id="rId76" Type="http://schemas.openxmlformats.org/officeDocument/2006/relationships/customXml" Target="../customXml/item63.xml"/><Relationship Id="rId97" Type="http://schemas.openxmlformats.org/officeDocument/2006/relationships/customXml" Target="../customXml/item84.xml"/><Relationship Id="rId120" Type="http://schemas.openxmlformats.org/officeDocument/2006/relationships/customXml" Target="../customXml/item107.xml"/><Relationship Id="rId141" Type="http://schemas.openxmlformats.org/officeDocument/2006/relationships/customXml" Target="../customXml/item128.xml"/><Relationship Id="rId7" Type="http://schemas.openxmlformats.org/officeDocument/2006/relationships/worksheet" Target="worksheets/sheet7.xml"/><Relationship Id="rId162" Type="http://schemas.openxmlformats.org/officeDocument/2006/relationships/customXml" Target="../customXml/item149.xml"/><Relationship Id="rId183" Type="http://schemas.openxmlformats.org/officeDocument/2006/relationships/customXml" Target="../customXml/item170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6.xml"/><Relationship Id="rId24" Type="http://schemas.openxmlformats.org/officeDocument/2006/relationships/customXml" Target="../customXml/item11.xml"/><Relationship Id="rId40" Type="http://schemas.openxmlformats.org/officeDocument/2006/relationships/customXml" Target="../customXml/item27.xml"/><Relationship Id="rId45" Type="http://schemas.openxmlformats.org/officeDocument/2006/relationships/customXml" Target="../customXml/item32.xml"/><Relationship Id="rId66" Type="http://schemas.openxmlformats.org/officeDocument/2006/relationships/customXml" Target="../customXml/item53.xml"/><Relationship Id="rId87" Type="http://schemas.openxmlformats.org/officeDocument/2006/relationships/customXml" Target="../customXml/item74.xml"/><Relationship Id="rId110" Type="http://schemas.openxmlformats.org/officeDocument/2006/relationships/customXml" Target="../customXml/item97.xml"/><Relationship Id="rId115" Type="http://schemas.openxmlformats.org/officeDocument/2006/relationships/customXml" Target="../customXml/item102.xml"/><Relationship Id="rId131" Type="http://schemas.openxmlformats.org/officeDocument/2006/relationships/customXml" Target="../customXml/item118.xml"/><Relationship Id="rId136" Type="http://schemas.openxmlformats.org/officeDocument/2006/relationships/customXml" Target="../customXml/item123.xml"/><Relationship Id="rId157" Type="http://schemas.openxmlformats.org/officeDocument/2006/relationships/customXml" Target="../customXml/item144.xml"/><Relationship Id="rId178" Type="http://schemas.openxmlformats.org/officeDocument/2006/relationships/customXml" Target="../customXml/item165.xml"/><Relationship Id="rId61" Type="http://schemas.openxmlformats.org/officeDocument/2006/relationships/customXml" Target="../customXml/item48.xml"/><Relationship Id="rId82" Type="http://schemas.openxmlformats.org/officeDocument/2006/relationships/customXml" Target="../customXml/item69.xml"/><Relationship Id="rId152" Type="http://schemas.openxmlformats.org/officeDocument/2006/relationships/customXml" Target="../customXml/item139.xml"/><Relationship Id="rId173" Type="http://schemas.openxmlformats.org/officeDocument/2006/relationships/customXml" Target="../customXml/item160.xml"/><Relationship Id="rId194" Type="http://schemas.openxmlformats.org/officeDocument/2006/relationships/customXml" Target="../customXml/item181.xml"/><Relationship Id="rId199" Type="http://schemas.openxmlformats.org/officeDocument/2006/relationships/customXml" Target="../customXml/item186.xml"/><Relationship Id="rId19" Type="http://schemas.openxmlformats.org/officeDocument/2006/relationships/customXml" Target="../customXml/item6.xml"/><Relationship Id="rId14" Type="http://schemas.openxmlformats.org/officeDocument/2006/relationships/customXml" Target="../customXml/item1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56" Type="http://schemas.openxmlformats.org/officeDocument/2006/relationships/customXml" Target="../customXml/item43.xml"/><Relationship Id="rId77" Type="http://schemas.openxmlformats.org/officeDocument/2006/relationships/customXml" Target="../customXml/item64.xml"/><Relationship Id="rId100" Type="http://schemas.openxmlformats.org/officeDocument/2006/relationships/customXml" Target="../customXml/item87.xml"/><Relationship Id="rId105" Type="http://schemas.openxmlformats.org/officeDocument/2006/relationships/customXml" Target="../customXml/item92.xml"/><Relationship Id="rId126" Type="http://schemas.openxmlformats.org/officeDocument/2006/relationships/customXml" Target="../customXml/item113.xml"/><Relationship Id="rId147" Type="http://schemas.openxmlformats.org/officeDocument/2006/relationships/customXml" Target="../customXml/item134.xml"/><Relationship Id="rId168" Type="http://schemas.openxmlformats.org/officeDocument/2006/relationships/customXml" Target="../customXml/item15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8.xml"/><Relationship Id="rId72" Type="http://schemas.openxmlformats.org/officeDocument/2006/relationships/customXml" Target="../customXml/item59.xml"/><Relationship Id="rId93" Type="http://schemas.openxmlformats.org/officeDocument/2006/relationships/customXml" Target="../customXml/item80.xml"/><Relationship Id="rId98" Type="http://schemas.openxmlformats.org/officeDocument/2006/relationships/customXml" Target="../customXml/item85.xml"/><Relationship Id="rId121" Type="http://schemas.openxmlformats.org/officeDocument/2006/relationships/customXml" Target="../customXml/item108.xml"/><Relationship Id="rId142" Type="http://schemas.openxmlformats.org/officeDocument/2006/relationships/customXml" Target="../customXml/item129.xml"/><Relationship Id="rId163" Type="http://schemas.openxmlformats.org/officeDocument/2006/relationships/customXml" Target="../customXml/item150.xml"/><Relationship Id="rId184" Type="http://schemas.openxmlformats.org/officeDocument/2006/relationships/customXml" Target="../customXml/item171.xml"/><Relationship Id="rId189" Type="http://schemas.openxmlformats.org/officeDocument/2006/relationships/customXml" Target="../customXml/item176.xml"/><Relationship Id="rId3" Type="http://schemas.openxmlformats.org/officeDocument/2006/relationships/worksheet" Target="worksheets/sheet3.xml"/><Relationship Id="rId25" Type="http://schemas.openxmlformats.org/officeDocument/2006/relationships/customXml" Target="../customXml/item12.xml"/><Relationship Id="rId46" Type="http://schemas.openxmlformats.org/officeDocument/2006/relationships/customXml" Target="../customXml/item33.xml"/><Relationship Id="rId67" Type="http://schemas.openxmlformats.org/officeDocument/2006/relationships/customXml" Target="../customXml/item54.xml"/><Relationship Id="rId116" Type="http://schemas.openxmlformats.org/officeDocument/2006/relationships/customXml" Target="../customXml/item103.xml"/><Relationship Id="rId137" Type="http://schemas.openxmlformats.org/officeDocument/2006/relationships/customXml" Target="../customXml/item124.xml"/><Relationship Id="rId158" Type="http://schemas.openxmlformats.org/officeDocument/2006/relationships/customXml" Target="../customXml/item145.xml"/><Relationship Id="rId20" Type="http://schemas.openxmlformats.org/officeDocument/2006/relationships/customXml" Target="../customXml/item7.xml"/><Relationship Id="rId41" Type="http://schemas.openxmlformats.org/officeDocument/2006/relationships/customXml" Target="../customXml/item28.xml"/><Relationship Id="rId62" Type="http://schemas.openxmlformats.org/officeDocument/2006/relationships/customXml" Target="../customXml/item49.xml"/><Relationship Id="rId83" Type="http://schemas.openxmlformats.org/officeDocument/2006/relationships/customXml" Target="../customXml/item70.xml"/><Relationship Id="rId88" Type="http://schemas.openxmlformats.org/officeDocument/2006/relationships/customXml" Target="../customXml/item75.xml"/><Relationship Id="rId111" Type="http://schemas.openxmlformats.org/officeDocument/2006/relationships/customXml" Target="../customXml/item98.xml"/><Relationship Id="rId132" Type="http://schemas.openxmlformats.org/officeDocument/2006/relationships/customXml" Target="../customXml/item119.xml"/><Relationship Id="rId153" Type="http://schemas.openxmlformats.org/officeDocument/2006/relationships/customXml" Target="../customXml/item140.xml"/><Relationship Id="rId174" Type="http://schemas.openxmlformats.org/officeDocument/2006/relationships/customXml" Target="../customXml/item161.xml"/><Relationship Id="rId179" Type="http://schemas.openxmlformats.org/officeDocument/2006/relationships/customXml" Target="../customXml/item166.xml"/><Relationship Id="rId195" Type="http://schemas.openxmlformats.org/officeDocument/2006/relationships/customXml" Target="../customXml/item182.xml"/><Relationship Id="rId190" Type="http://schemas.openxmlformats.org/officeDocument/2006/relationships/customXml" Target="../customXml/item177.xml"/><Relationship Id="rId15" Type="http://schemas.openxmlformats.org/officeDocument/2006/relationships/customXml" Target="../customXml/item2.xml"/><Relationship Id="rId36" Type="http://schemas.openxmlformats.org/officeDocument/2006/relationships/customXml" Target="../customXml/item23.xml"/><Relationship Id="rId57" Type="http://schemas.openxmlformats.org/officeDocument/2006/relationships/customXml" Target="../customXml/item44.xml"/><Relationship Id="rId106" Type="http://schemas.openxmlformats.org/officeDocument/2006/relationships/customXml" Target="../customXml/item93.xml"/><Relationship Id="rId127" Type="http://schemas.openxmlformats.org/officeDocument/2006/relationships/customXml" Target="../customXml/item114.xml"/><Relationship Id="rId10" Type="http://schemas.openxmlformats.org/officeDocument/2006/relationships/connections" Target="connections.xml"/><Relationship Id="rId31" Type="http://schemas.openxmlformats.org/officeDocument/2006/relationships/customXml" Target="../customXml/item18.xml"/><Relationship Id="rId52" Type="http://schemas.openxmlformats.org/officeDocument/2006/relationships/customXml" Target="../customXml/item39.xml"/><Relationship Id="rId73" Type="http://schemas.openxmlformats.org/officeDocument/2006/relationships/customXml" Target="../customXml/item60.xml"/><Relationship Id="rId78" Type="http://schemas.openxmlformats.org/officeDocument/2006/relationships/customXml" Target="../customXml/item65.xml"/><Relationship Id="rId94" Type="http://schemas.openxmlformats.org/officeDocument/2006/relationships/customXml" Target="../customXml/item81.xml"/><Relationship Id="rId99" Type="http://schemas.openxmlformats.org/officeDocument/2006/relationships/customXml" Target="../customXml/item86.xml"/><Relationship Id="rId101" Type="http://schemas.openxmlformats.org/officeDocument/2006/relationships/customXml" Target="../customXml/item88.xml"/><Relationship Id="rId122" Type="http://schemas.openxmlformats.org/officeDocument/2006/relationships/customXml" Target="../customXml/item109.xml"/><Relationship Id="rId143" Type="http://schemas.openxmlformats.org/officeDocument/2006/relationships/customXml" Target="../customXml/item130.xml"/><Relationship Id="rId148" Type="http://schemas.openxmlformats.org/officeDocument/2006/relationships/customXml" Target="../customXml/item135.xml"/><Relationship Id="rId164" Type="http://schemas.openxmlformats.org/officeDocument/2006/relationships/customXml" Target="../customXml/item151.xml"/><Relationship Id="rId169" Type="http://schemas.openxmlformats.org/officeDocument/2006/relationships/customXml" Target="../customXml/item156.xml"/><Relationship Id="rId185" Type="http://schemas.openxmlformats.org/officeDocument/2006/relationships/customXml" Target="../customXml/item17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80" Type="http://schemas.openxmlformats.org/officeDocument/2006/relationships/customXml" Target="../customXml/item167.xml"/><Relationship Id="rId26" Type="http://schemas.openxmlformats.org/officeDocument/2006/relationships/customXml" Target="../customXml/item13.xml"/><Relationship Id="rId47" Type="http://schemas.openxmlformats.org/officeDocument/2006/relationships/customXml" Target="../customXml/item34.xml"/><Relationship Id="rId68" Type="http://schemas.openxmlformats.org/officeDocument/2006/relationships/customXml" Target="../customXml/item55.xml"/><Relationship Id="rId89" Type="http://schemas.openxmlformats.org/officeDocument/2006/relationships/customXml" Target="../customXml/item76.xml"/><Relationship Id="rId112" Type="http://schemas.openxmlformats.org/officeDocument/2006/relationships/customXml" Target="../customXml/item99.xml"/><Relationship Id="rId133" Type="http://schemas.openxmlformats.org/officeDocument/2006/relationships/customXml" Target="../customXml/item120.xml"/><Relationship Id="rId154" Type="http://schemas.openxmlformats.org/officeDocument/2006/relationships/customXml" Target="../customXml/item141.xml"/><Relationship Id="rId175" Type="http://schemas.openxmlformats.org/officeDocument/2006/relationships/customXml" Target="../customXml/item162.xml"/><Relationship Id="rId196" Type="http://schemas.openxmlformats.org/officeDocument/2006/relationships/customXml" Target="../customXml/item183.xml"/><Relationship Id="rId200" Type="http://schemas.openxmlformats.org/officeDocument/2006/relationships/customXml" Target="../customXml/item187.xml"/><Relationship Id="rId16" Type="http://schemas.openxmlformats.org/officeDocument/2006/relationships/customXml" Target="../customXml/item3.xml"/><Relationship Id="rId37" Type="http://schemas.openxmlformats.org/officeDocument/2006/relationships/customXml" Target="../customXml/item24.xml"/><Relationship Id="rId58" Type="http://schemas.openxmlformats.org/officeDocument/2006/relationships/customXml" Target="../customXml/item45.xml"/><Relationship Id="rId79" Type="http://schemas.openxmlformats.org/officeDocument/2006/relationships/customXml" Target="../customXml/item66.xml"/><Relationship Id="rId102" Type="http://schemas.openxmlformats.org/officeDocument/2006/relationships/customXml" Target="../customXml/item89.xml"/><Relationship Id="rId123" Type="http://schemas.openxmlformats.org/officeDocument/2006/relationships/customXml" Target="../customXml/item110.xml"/><Relationship Id="rId144" Type="http://schemas.openxmlformats.org/officeDocument/2006/relationships/customXml" Target="../customXml/item131.xml"/><Relationship Id="rId90" Type="http://schemas.openxmlformats.org/officeDocument/2006/relationships/customXml" Target="../customXml/item77.xml"/><Relationship Id="rId165" Type="http://schemas.openxmlformats.org/officeDocument/2006/relationships/customXml" Target="../customXml/item152.xml"/><Relationship Id="rId186" Type="http://schemas.openxmlformats.org/officeDocument/2006/relationships/customXml" Target="../customXml/item173.xml"/><Relationship Id="rId27" Type="http://schemas.openxmlformats.org/officeDocument/2006/relationships/customXml" Target="../customXml/item14.xml"/><Relationship Id="rId48" Type="http://schemas.openxmlformats.org/officeDocument/2006/relationships/customXml" Target="../customXml/item35.xml"/><Relationship Id="rId69" Type="http://schemas.openxmlformats.org/officeDocument/2006/relationships/customXml" Target="../customXml/item56.xml"/><Relationship Id="rId113" Type="http://schemas.openxmlformats.org/officeDocument/2006/relationships/customXml" Target="../customXml/item100.xml"/><Relationship Id="rId134" Type="http://schemas.openxmlformats.org/officeDocument/2006/relationships/customXml" Target="../customXml/item121.xml"/><Relationship Id="rId80" Type="http://schemas.openxmlformats.org/officeDocument/2006/relationships/customXml" Target="../customXml/item67.xml"/><Relationship Id="rId155" Type="http://schemas.openxmlformats.org/officeDocument/2006/relationships/customXml" Target="../customXml/item142.xml"/><Relationship Id="rId176" Type="http://schemas.openxmlformats.org/officeDocument/2006/relationships/customXml" Target="../customXml/item163.xml"/><Relationship Id="rId197" Type="http://schemas.openxmlformats.org/officeDocument/2006/relationships/customXml" Target="../customXml/item184.xml"/><Relationship Id="rId201" Type="http://schemas.openxmlformats.org/officeDocument/2006/relationships/customXml" Target="../customXml/item188.xml"/><Relationship Id="rId17" Type="http://schemas.openxmlformats.org/officeDocument/2006/relationships/customXml" Target="../customXml/item4.xml"/><Relationship Id="rId38" Type="http://schemas.openxmlformats.org/officeDocument/2006/relationships/customXml" Target="../customXml/item25.xml"/><Relationship Id="rId59" Type="http://schemas.openxmlformats.org/officeDocument/2006/relationships/customXml" Target="../customXml/item46.xml"/><Relationship Id="rId103" Type="http://schemas.openxmlformats.org/officeDocument/2006/relationships/customXml" Target="../customXml/item90.xml"/><Relationship Id="rId124" Type="http://schemas.openxmlformats.org/officeDocument/2006/relationships/customXml" Target="../customXml/item111.xml"/><Relationship Id="rId70" Type="http://schemas.openxmlformats.org/officeDocument/2006/relationships/customXml" Target="../customXml/item57.xml"/><Relationship Id="rId91" Type="http://schemas.openxmlformats.org/officeDocument/2006/relationships/customXml" Target="../customXml/item78.xml"/><Relationship Id="rId145" Type="http://schemas.openxmlformats.org/officeDocument/2006/relationships/customXml" Target="../customXml/item132.xml"/><Relationship Id="rId166" Type="http://schemas.openxmlformats.org/officeDocument/2006/relationships/customXml" Target="../customXml/item153.xml"/><Relationship Id="rId187" Type="http://schemas.openxmlformats.org/officeDocument/2006/relationships/customXml" Target="../customXml/item174.xml"/><Relationship Id="rId1" Type="http://schemas.openxmlformats.org/officeDocument/2006/relationships/worksheet" Target="worksheets/sheet1.xml"/><Relationship Id="rId28" Type="http://schemas.openxmlformats.org/officeDocument/2006/relationships/customXml" Target="../customXml/item15.xml"/><Relationship Id="rId49" Type="http://schemas.openxmlformats.org/officeDocument/2006/relationships/customXml" Target="../customXml/item36.xml"/><Relationship Id="rId114" Type="http://schemas.openxmlformats.org/officeDocument/2006/relationships/customXml" Target="../customXml/item101.xml"/><Relationship Id="rId60" Type="http://schemas.openxmlformats.org/officeDocument/2006/relationships/customXml" Target="../customXml/item47.xml"/><Relationship Id="rId81" Type="http://schemas.openxmlformats.org/officeDocument/2006/relationships/customXml" Target="../customXml/item68.xml"/><Relationship Id="rId135" Type="http://schemas.openxmlformats.org/officeDocument/2006/relationships/customXml" Target="../customXml/item122.xml"/><Relationship Id="rId156" Type="http://schemas.openxmlformats.org/officeDocument/2006/relationships/customXml" Target="../customXml/item143.xml"/><Relationship Id="rId177" Type="http://schemas.openxmlformats.org/officeDocument/2006/relationships/customXml" Target="../customXml/item164.xml"/><Relationship Id="rId198" Type="http://schemas.openxmlformats.org/officeDocument/2006/relationships/customXml" Target="../customXml/item185.xml"/><Relationship Id="rId18" Type="http://schemas.openxmlformats.org/officeDocument/2006/relationships/customXml" Target="../customXml/item5.xml"/><Relationship Id="rId39" Type="http://schemas.openxmlformats.org/officeDocument/2006/relationships/customXml" Target="../customXml/item26.xml"/><Relationship Id="rId50" Type="http://schemas.openxmlformats.org/officeDocument/2006/relationships/customXml" Target="../customXml/item37.xml"/><Relationship Id="rId104" Type="http://schemas.openxmlformats.org/officeDocument/2006/relationships/customXml" Target="../customXml/item91.xml"/><Relationship Id="rId125" Type="http://schemas.openxmlformats.org/officeDocument/2006/relationships/customXml" Target="../customXml/item112.xml"/><Relationship Id="rId146" Type="http://schemas.openxmlformats.org/officeDocument/2006/relationships/customXml" Target="../customXml/item133.xml"/><Relationship Id="rId167" Type="http://schemas.openxmlformats.org/officeDocument/2006/relationships/customXml" Target="../customXml/item154.xml"/><Relationship Id="rId188" Type="http://schemas.openxmlformats.org/officeDocument/2006/relationships/customXml" Target="../customXml/item175.xml"/><Relationship Id="rId71" Type="http://schemas.openxmlformats.org/officeDocument/2006/relationships/customXml" Target="../customXml/item58.xml"/><Relationship Id="rId92" Type="http://schemas.openxmlformats.org/officeDocument/2006/relationships/customXml" Target="../customXml/item79.xml"/></Relationships>
</file>

<file path=xl/theme/theme1.xml><?xml version="1.0" encoding="utf-8"?>
<a:theme xmlns:a="http://schemas.openxmlformats.org/drawingml/2006/main" name="Office Theme">
  <a:themeElements>
    <a:clrScheme name="YCG">
      <a:dk1>
        <a:srgbClr val="38434D"/>
      </a:dk1>
      <a:lt1>
        <a:sysClr val="window" lastClr="FFFFFF"/>
      </a:lt1>
      <a:dk2>
        <a:srgbClr val="6F7A82"/>
      </a:dk2>
      <a:lt2>
        <a:srgbClr val="EAE9CB"/>
      </a:lt2>
      <a:accent1>
        <a:srgbClr val="6F7A82"/>
      </a:accent1>
      <a:accent2>
        <a:srgbClr val="B0C1CE"/>
      </a:accent2>
      <a:accent3>
        <a:srgbClr val="EAE9CB"/>
      </a:accent3>
      <a:accent4>
        <a:srgbClr val="38434D"/>
      </a:accent4>
      <a:accent5>
        <a:srgbClr val="B0C1CE"/>
      </a:accent5>
      <a:accent6>
        <a:srgbClr val="6F7A82"/>
      </a:accent6>
      <a:hlink>
        <a:srgbClr val="EAE9CB"/>
      </a:hlink>
      <a:folHlink>
        <a:srgbClr val="38434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CFFBD0-B667-4AE6-AB24-4B66FC94C30F}">
  <we:reference id="wa200006775" version="1.0.0.4" store="en-US" storeType="OMEX"/>
  <we:alternateReferences>
    <we:reference id="wa200006775" version="1.0.0.4" store="WA2000067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85E0-496D-48BD-A2D9-0BF1D369E12E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2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100000</v>
      </c>
      <c r="E6" s="18">
        <v>103000</v>
      </c>
      <c r="F6" s="18">
        <f>E6*(0.97)</f>
        <v>99910</v>
      </c>
      <c r="G6" s="18">
        <v>102907.3</v>
      </c>
      <c r="H6" s="18">
        <f>G6*(0.97)</f>
        <v>99820.081000000006</v>
      </c>
      <c r="I6" s="18">
        <v>102814.68343</v>
      </c>
      <c r="J6" s="18">
        <v>105899.12393290001</v>
      </c>
      <c r="K6" s="18">
        <f>J6*(0.97)</f>
        <v>102722.15021491301</v>
      </c>
      <c r="L6" s="18">
        <v>105803.81472136041</v>
      </c>
      <c r="M6" s="18">
        <v>108977.92916300123</v>
      </c>
      <c r="N6" s="18">
        <v>112247.26703789127</v>
      </c>
      <c r="O6" s="18">
        <f>N6*(0.97)</f>
        <v>108879.84902675453</v>
      </c>
      <c r="P6" s="18">
        <v>112146.24449755717</v>
      </c>
      <c r="Q6" s="18">
        <v>115510.63183248389</v>
      </c>
      <c r="R6" s="18">
        <f>Q6*(0.97)</f>
        <v>112045.31287750938</v>
      </c>
      <c r="S6" s="18">
        <v>115406.67226383467</v>
      </c>
      <c r="T6" s="18">
        <f>S6*(0.97)</f>
        <v>111944.47209591963</v>
      </c>
      <c r="U6" s="18">
        <v>115302.80625879722</v>
      </c>
      <c r="V6" s="18">
        <v>118761.89044656114</v>
      </c>
      <c r="W6" s="18">
        <f t="shared" ref="W6:X6" si="35">V6*(0.97)</f>
        <v>115199.03373316431</v>
      </c>
      <c r="X6" s="18">
        <f t="shared" si="35"/>
        <v>111743.06272116938</v>
      </c>
      <c r="Y6" s="18">
        <v>115095.35460280447</v>
      </c>
      <c r="Z6" s="18">
        <v>118548.2152408886</v>
      </c>
      <c r="AA6" s="18">
        <v>122104.66169811526</v>
      </c>
      <c r="AB6" s="18">
        <f>AA6*(0.97)</f>
        <v>118441.5218471718</v>
      </c>
      <c r="AC6" s="18">
        <v>121994.76750258695</v>
      </c>
      <c r="AD6" s="18">
        <v>125654.61052766457</v>
      </c>
      <c r="AE6" s="18">
        <v>129424.24884349451</v>
      </c>
      <c r="AF6" s="18">
        <f>AE6*(0.97)</f>
        <v>125541.52137818967</v>
      </c>
      <c r="AG6" s="18">
        <v>129307.76701953537</v>
      </c>
      <c r="AH6" s="18">
        <v>133187.00003012145</v>
      </c>
      <c r="AI6" s="18">
        <f>AH6*(0.97)</f>
        <v>129191.3900292178</v>
      </c>
      <c r="AJ6" s="18">
        <v>133067.13173009435</v>
      </c>
      <c r="AK6" s="18">
        <v>137059.14568199718</v>
      </c>
      <c r="AL6" s="18">
        <v>141170.92005245711</v>
      </c>
      <c r="AM6" s="18">
        <f>AL6*(0.97)</f>
        <v>136935.7924508834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" si="36">SUM(D6 + D5)</f>
        <v>100000</v>
      </c>
      <c r="E7" s="19">
        <f t="shared" ref="E7:AL7" si="37">SUM(E6 + E5)</f>
        <v>103000</v>
      </c>
      <c r="F7" s="19">
        <f t="shared" si="37"/>
        <v>99910</v>
      </c>
      <c r="G7" s="19">
        <f t="shared" si="37"/>
        <v>102907.3</v>
      </c>
      <c r="H7" s="19">
        <f t="shared" si="37"/>
        <v>99820.081000000006</v>
      </c>
      <c r="I7" s="19">
        <f t="shared" si="37"/>
        <v>102814.68343</v>
      </c>
      <c r="J7" s="19">
        <f t="shared" si="37"/>
        <v>105899.12393290001</v>
      </c>
      <c r="K7" s="19">
        <f t="shared" si="37"/>
        <v>102722.15021491301</v>
      </c>
      <c r="L7" s="19">
        <f t="shared" si="37"/>
        <v>105803.81472136041</v>
      </c>
      <c r="M7" s="19">
        <f t="shared" si="37"/>
        <v>108977.92916300123</v>
      </c>
      <c r="N7" s="19">
        <f t="shared" si="37"/>
        <v>112247.26703789127</v>
      </c>
      <c r="O7" s="19">
        <f t="shared" si="37"/>
        <v>108879.84902675453</v>
      </c>
      <c r="P7" s="19">
        <f t="shared" si="37"/>
        <v>112146.24449755717</v>
      </c>
      <c r="Q7" s="19">
        <f t="shared" si="37"/>
        <v>115510.63183248389</v>
      </c>
      <c r="R7" s="19">
        <f t="shared" si="37"/>
        <v>112045.31287750938</v>
      </c>
      <c r="S7" s="19">
        <f t="shared" si="37"/>
        <v>115406.67226383467</v>
      </c>
      <c r="T7" s="19">
        <f t="shared" si="37"/>
        <v>111944.47209591963</v>
      </c>
      <c r="U7" s="19">
        <f t="shared" si="37"/>
        <v>115302.80625879722</v>
      </c>
      <c r="V7" s="19">
        <f t="shared" si="37"/>
        <v>118761.89044656114</v>
      </c>
      <c r="W7" s="19">
        <f t="shared" si="37"/>
        <v>115199.03373316431</v>
      </c>
      <c r="X7" s="19">
        <f t="shared" si="37"/>
        <v>111743.06272116938</v>
      </c>
      <c r="Y7" s="19">
        <f t="shared" si="37"/>
        <v>115095.35460280447</v>
      </c>
      <c r="Z7" s="19">
        <f t="shared" si="37"/>
        <v>118548.2152408886</v>
      </c>
      <c r="AA7" s="19">
        <f t="shared" si="37"/>
        <v>122104.66169811526</v>
      </c>
      <c r="AB7" s="19">
        <f t="shared" si="37"/>
        <v>118441.5218471718</v>
      </c>
      <c r="AC7" s="19">
        <f t="shared" si="37"/>
        <v>121994.76750258695</v>
      </c>
      <c r="AD7" s="19">
        <f t="shared" si="37"/>
        <v>125654.61052766457</v>
      </c>
      <c r="AE7" s="19">
        <f t="shared" si="37"/>
        <v>129424.24884349451</v>
      </c>
      <c r="AF7" s="19">
        <f t="shared" si="37"/>
        <v>125541.52137818967</v>
      </c>
      <c r="AG7" s="19">
        <f t="shared" si="37"/>
        <v>129307.76701953537</v>
      </c>
      <c r="AH7" s="19">
        <f t="shared" si="37"/>
        <v>133187.00003012145</v>
      </c>
      <c r="AI7" s="19">
        <f t="shared" si="37"/>
        <v>129191.3900292178</v>
      </c>
      <c r="AJ7" s="19">
        <f t="shared" si="37"/>
        <v>133067.13173009435</v>
      </c>
      <c r="AK7" s="19">
        <f t="shared" si="37"/>
        <v>137059.14568199718</v>
      </c>
      <c r="AL7" s="19">
        <f t="shared" si="37"/>
        <v>141170.92005245711</v>
      </c>
      <c r="AM7" s="19">
        <f t="shared" ref="AM7" si="38">SUM(AM6 + AM5)</f>
        <v>136935.7924508834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25000</v>
      </c>
      <c r="E9" s="18">
        <v>30900</v>
      </c>
      <c r="F9" s="18">
        <v>13987.4</v>
      </c>
      <c r="G9" s="18">
        <v>27784.971000000001</v>
      </c>
      <c r="H9" s="18">
        <v>19964.016200000002</v>
      </c>
      <c r="I9" s="18">
        <v>13365.908845900001</v>
      </c>
      <c r="J9" s="18">
        <v>22238.816025909004</v>
      </c>
      <c r="K9" s="18">
        <v>12326.658025789562</v>
      </c>
      <c r="L9" s="18">
        <v>17986.648502631269</v>
      </c>
      <c r="M9" s="18">
        <v>20705.806540970236</v>
      </c>
      <c r="N9" s="18">
        <v>20204.508066820432</v>
      </c>
      <c r="O9" s="18">
        <v>13065.581883210545</v>
      </c>
      <c r="P9" s="18">
        <v>13457.54933970686</v>
      </c>
      <c r="Q9" s="18">
        <v>20791.913729847103</v>
      </c>
      <c r="R9" s="18">
        <v>15686.343802851312</v>
      </c>
      <c r="S9" s="18">
        <v>27697.601343320319</v>
      </c>
      <c r="T9" s="18">
        <v>19030.560256306337</v>
      </c>
      <c r="U9" s="18">
        <v>21907.533189171474</v>
      </c>
      <c r="V9" s="18">
        <v>15439.045758052947</v>
      </c>
      <c r="W9" s="18">
        <v>25343.787421296147</v>
      </c>
      <c r="X9" s="18">
        <v>14526.598153752018</v>
      </c>
      <c r="Y9" s="18">
        <v>11509.535460280445</v>
      </c>
      <c r="Z9" s="18">
        <v>21338.678743359949</v>
      </c>
      <c r="AA9" s="18">
        <v>18315.699254717289</v>
      </c>
      <c r="AB9" s="18">
        <v>15397.397840132333</v>
      </c>
      <c r="AC9" s="18">
        <v>25618.901175543262</v>
      </c>
      <c r="AD9" s="18">
        <v>23874.376000256267</v>
      </c>
      <c r="AE9" s="18">
        <v>38827.274653048349</v>
      </c>
      <c r="AF9" s="18">
        <v>37662.456413456901</v>
      </c>
      <c r="AG9" s="18">
        <v>28447.708744297783</v>
      </c>
      <c r="AH9" s="18">
        <v>38624.23000873522</v>
      </c>
      <c r="AI9" s="18">
        <v>25838.27800584356</v>
      </c>
      <c r="AJ9" s="18">
        <v>25282.755028717929</v>
      </c>
      <c r="AK9" s="18">
        <v>34264.786420499295</v>
      </c>
      <c r="AL9" s="18">
        <v>22587.347208393137</v>
      </c>
      <c r="AM9" s="18">
        <v>15062.937169597175</v>
      </c>
    </row>
    <row r="10" spans="1:39" s="17" customFormat="1" ht="21" customHeight="1" x14ac:dyDescent="0.3">
      <c r="A10" s="14"/>
      <c r="B10" s="4" t="s">
        <v>8</v>
      </c>
      <c r="C10" s="15"/>
      <c r="D10" s="18">
        <v>250</v>
      </c>
      <c r="E10" s="18">
        <v>275</v>
      </c>
      <c r="F10" s="18">
        <v>302.5</v>
      </c>
      <c r="G10" s="18">
        <v>332.75</v>
      </c>
      <c r="H10" s="18">
        <v>366.02500000000003</v>
      </c>
      <c r="I10" s="18">
        <v>402.62750000000005</v>
      </c>
      <c r="J10" s="18">
        <v>442.89025000000009</v>
      </c>
      <c r="K10" s="18">
        <v>487.17927500000013</v>
      </c>
      <c r="L10" s="18">
        <v>535.89720250000016</v>
      </c>
      <c r="M10" s="18">
        <v>589.48692275000019</v>
      </c>
      <c r="N10" s="18">
        <v>648.43561502500029</v>
      </c>
      <c r="O10" s="18">
        <v>713.27917652750034</v>
      </c>
      <c r="P10" s="18">
        <v>784.60709418025044</v>
      </c>
      <c r="Q10" s="18">
        <v>863.06780359827553</v>
      </c>
      <c r="R10" s="18">
        <v>949.37458395810313</v>
      </c>
      <c r="S10" s="18">
        <v>1044.3120423539135</v>
      </c>
      <c r="T10" s="18">
        <v>1148.743246589305</v>
      </c>
      <c r="U10" s="18">
        <v>1263.6175712482357</v>
      </c>
      <c r="V10" s="18">
        <v>1389.9793283730594</v>
      </c>
      <c r="W10" s="18">
        <v>1528.9772612103654</v>
      </c>
      <c r="X10" s="18">
        <v>1681.8749873314021</v>
      </c>
      <c r="Y10" s="18">
        <v>1850.0624860645423</v>
      </c>
      <c r="Z10" s="18">
        <v>2035.0687346709967</v>
      </c>
      <c r="AA10" s="18">
        <v>2238.5756081380964</v>
      </c>
      <c r="AB10" s="18">
        <v>2462.4331689519063</v>
      </c>
      <c r="AC10" s="18">
        <v>2708.676485847097</v>
      </c>
      <c r="AD10" s="18">
        <v>2979.5441344318069</v>
      </c>
      <c r="AE10" s="18">
        <v>3277.4985478749877</v>
      </c>
      <c r="AF10" s="18">
        <v>3605.2484026624866</v>
      </c>
      <c r="AG10" s="18">
        <v>3965.7732429287357</v>
      </c>
      <c r="AH10" s="18">
        <v>4362.3505672216097</v>
      </c>
      <c r="AI10" s="18">
        <v>4798.5856239437708</v>
      </c>
      <c r="AJ10" s="18">
        <v>5278.444186338148</v>
      </c>
      <c r="AK10" s="18">
        <v>5806.2886049719637</v>
      </c>
      <c r="AL10" s="18">
        <v>6386.9174654691606</v>
      </c>
      <c r="AM10" s="18">
        <v>7025.6092120160774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L11" si="39">SUM(D10, D9 + D8)</f>
        <v>25250</v>
      </c>
      <c r="E11" s="19">
        <f t="shared" si="39"/>
        <v>31175</v>
      </c>
      <c r="F11" s="19">
        <f t="shared" si="39"/>
        <v>14289.9</v>
      </c>
      <c r="G11" s="19">
        <f t="shared" si="39"/>
        <v>28117.721000000001</v>
      </c>
      <c r="H11" s="19">
        <f t="shared" si="39"/>
        <v>20330.041200000003</v>
      </c>
      <c r="I11" s="19">
        <f t="shared" si="39"/>
        <v>13768.536345900002</v>
      </c>
      <c r="J11" s="19">
        <f t="shared" si="39"/>
        <v>22681.706275909004</v>
      </c>
      <c r="K11" s="19">
        <f t="shared" si="39"/>
        <v>12813.837300789563</v>
      </c>
      <c r="L11" s="19">
        <f t="shared" si="39"/>
        <v>18522.54570513127</v>
      </c>
      <c r="M11" s="19">
        <f t="shared" si="39"/>
        <v>21295.293463720234</v>
      </c>
      <c r="N11" s="19">
        <f t="shared" si="39"/>
        <v>20852.943681845431</v>
      </c>
      <c r="O11" s="19">
        <f t="shared" si="39"/>
        <v>13778.861059738045</v>
      </c>
      <c r="P11" s="19">
        <f t="shared" si="39"/>
        <v>14242.15643388711</v>
      </c>
      <c r="Q11" s="19">
        <f t="shared" si="39"/>
        <v>21654.981533445378</v>
      </c>
      <c r="R11" s="19">
        <f t="shared" si="39"/>
        <v>16635.718386809414</v>
      </c>
      <c r="S11" s="19">
        <f t="shared" si="39"/>
        <v>28741.913385674234</v>
      </c>
      <c r="T11" s="19">
        <f t="shared" si="39"/>
        <v>20179.30350289564</v>
      </c>
      <c r="U11" s="19">
        <f t="shared" si="39"/>
        <v>23171.15076041971</v>
      </c>
      <c r="V11" s="19">
        <f t="shared" si="39"/>
        <v>16829.025086426005</v>
      </c>
      <c r="W11" s="19">
        <f t="shared" si="39"/>
        <v>26872.764682506513</v>
      </c>
      <c r="X11" s="19">
        <f t="shared" si="39"/>
        <v>16208.473141083421</v>
      </c>
      <c r="Y11" s="19">
        <f t="shared" si="39"/>
        <v>13359.597946344988</v>
      </c>
      <c r="Z11" s="19">
        <f t="shared" si="39"/>
        <v>23373.747478030946</v>
      </c>
      <c r="AA11" s="19">
        <f t="shared" si="39"/>
        <v>20554.274862855385</v>
      </c>
      <c r="AB11" s="19">
        <f t="shared" si="39"/>
        <v>17859.831009084239</v>
      </c>
      <c r="AC11" s="19">
        <f t="shared" si="39"/>
        <v>28327.577661390358</v>
      </c>
      <c r="AD11" s="19">
        <f t="shared" si="39"/>
        <v>26853.920134688073</v>
      </c>
      <c r="AE11" s="19">
        <f t="shared" si="39"/>
        <v>42104.773200923337</v>
      </c>
      <c r="AF11" s="19">
        <f t="shared" si="39"/>
        <v>41267.704816119389</v>
      </c>
      <c r="AG11" s="19">
        <f t="shared" si="39"/>
        <v>32413.481987226518</v>
      </c>
      <c r="AH11" s="19">
        <f t="shared" si="39"/>
        <v>42986.580575956832</v>
      </c>
      <c r="AI11" s="19">
        <f t="shared" si="39"/>
        <v>30636.863629787331</v>
      </c>
      <c r="AJ11" s="19">
        <f t="shared" si="39"/>
        <v>30561.199215056076</v>
      </c>
      <c r="AK11" s="19">
        <f t="shared" si="39"/>
        <v>40071.075025471262</v>
      </c>
      <c r="AL11" s="19">
        <f t="shared" si="39"/>
        <v>28974.264673862297</v>
      </c>
      <c r="AM11" s="19">
        <f t="shared" ref="AM11" si="40">SUM(AM10, AM9 + AM8)</f>
        <v>22088.546381613254</v>
      </c>
    </row>
    <row r="12" spans="1:39" s="21" customFormat="1" ht="21" customHeight="1" x14ac:dyDescent="0.3">
      <c r="B12" s="5" t="s">
        <v>10</v>
      </c>
      <c r="C12" s="22"/>
      <c r="D12" s="23">
        <f t="shared" ref="D12:AL12" si="41">D7-D11</f>
        <v>74750</v>
      </c>
      <c r="E12" s="23">
        <f t="shared" si="41"/>
        <v>71825</v>
      </c>
      <c r="F12" s="23">
        <f t="shared" si="41"/>
        <v>85620.1</v>
      </c>
      <c r="G12" s="23">
        <f t="shared" si="41"/>
        <v>74789.578999999998</v>
      </c>
      <c r="H12" s="23">
        <f t="shared" si="41"/>
        <v>79490.039799999999</v>
      </c>
      <c r="I12" s="23">
        <f t="shared" si="41"/>
        <v>89046.147084099997</v>
      </c>
      <c r="J12" s="23">
        <f t="shared" si="41"/>
        <v>83217.417656991005</v>
      </c>
      <c r="K12" s="23">
        <f t="shared" si="41"/>
        <v>89908.312914123453</v>
      </c>
      <c r="L12" s="23">
        <f t="shared" si="41"/>
        <v>87281.26901622914</v>
      </c>
      <c r="M12" s="23">
        <f t="shared" si="41"/>
        <v>87682.635699281003</v>
      </c>
      <c r="N12" s="23">
        <f t="shared" si="41"/>
        <v>91394.323356045847</v>
      </c>
      <c r="O12" s="23">
        <f t="shared" si="41"/>
        <v>95100.987967016481</v>
      </c>
      <c r="P12" s="23">
        <f t="shared" si="41"/>
        <v>97904.08806367006</v>
      </c>
      <c r="Q12" s="23">
        <f t="shared" si="41"/>
        <v>93855.65029903852</v>
      </c>
      <c r="R12" s="23">
        <f t="shared" si="41"/>
        <v>95409.594490699965</v>
      </c>
      <c r="S12" s="23">
        <f t="shared" si="41"/>
        <v>86664.758878160443</v>
      </c>
      <c r="T12" s="23">
        <f t="shared" si="41"/>
        <v>91765.168593023991</v>
      </c>
      <c r="U12" s="23">
        <f t="shared" si="41"/>
        <v>92131.655498377513</v>
      </c>
      <c r="V12" s="23">
        <f t="shared" si="41"/>
        <v>101932.86536013514</v>
      </c>
      <c r="W12" s="23">
        <f t="shared" si="41"/>
        <v>88326.269050657793</v>
      </c>
      <c r="X12" s="23">
        <f t="shared" si="41"/>
        <v>95534.589580085958</v>
      </c>
      <c r="Y12" s="23">
        <f t="shared" si="41"/>
        <v>101735.75665645947</v>
      </c>
      <c r="Z12" s="23">
        <f t="shared" si="41"/>
        <v>95174.467762857661</v>
      </c>
      <c r="AA12" s="23">
        <f t="shared" si="41"/>
        <v>101550.38683525988</v>
      </c>
      <c r="AB12" s="23">
        <f t="shared" si="41"/>
        <v>100581.69083808755</v>
      </c>
      <c r="AC12" s="23">
        <f t="shared" si="41"/>
        <v>93667.189841196596</v>
      </c>
      <c r="AD12" s="23">
        <f t="shared" si="41"/>
        <v>98800.690392976496</v>
      </c>
      <c r="AE12" s="23">
        <f t="shared" si="41"/>
        <v>87319.475642571168</v>
      </c>
      <c r="AF12" s="23">
        <f t="shared" si="41"/>
        <v>84273.816562070278</v>
      </c>
      <c r="AG12" s="23">
        <f t="shared" si="41"/>
        <v>96894.28503230885</v>
      </c>
      <c r="AH12" s="23">
        <f t="shared" si="41"/>
        <v>90200.419454164614</v>
      </c>
      <c r="AI12" s="23">
        <f t="shared" si="41"/>
        <v>98554.52639943047</v>
      </c>
      <c r="AJ12" s="23">
        <f t="shared" si="41"/>
        <v>102505.93251503826</v>
      </c>
      <c r="AK12" s="23">
        <f t="shared" si="41"/>
        <v>96988.070656525917</v>
      </c>
      <c r="AL12" s="23">
        <f t="shared" si="41"/>
        <v>112196.65537859481</v>
      </c>
      <c r="AM12" s="23">
        <f t="shared" ref="AM12" si="42">AM7-AM11</f>
        <v>114847.24606927014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350</v>
      </c>
      <c r="E15" s="18">
        <v>360.5</v>
      </c>
      <c r="F15" s="18">
        <f>E15*(0.98)</f>
        <v>353.29</v>
      </c>
      <c r="G15" s="18">
        <v>363.88870000000003</v>
      </c>
      <c r="H15" s="18">
        <v>374.80536100000006</v>
      </c>
      <c r="I15" s="18">
        <f>H15*(0.98)</f>
        <v>367.30925378000006</v>
      </c>
      <c r="J15" s="18">
        <v>378.32853139340006</v>
      </c>
      <c r="K15" s="18">
        <v>389.67838733520205</v>
      </c>
      <c r="L15" s="18">
        <v>401.3687389552581</v>
      </c>
      <c r="M15" s="18">
        <f>L15*(0.98)</f>
        <v>393.34136417615292</v>
      </c>
      <c r="N15" s="18">
        <v>405.14160510143751</v>
      </c>
      <c r="O15" s="18">
        <v>417.29585325448062</v>
      </c>
      <c r="P15" s="18">
        <v>429.81472885211502</v>
      </c>
      <c r="Q15" s="18">
        <f>P15*(0.98)</f>
        <v>421.2184342750727</v>
      </c>
      <c r="R15" s="18">
        <v>433.85498730332489</v>
      </c>
      <c r="S15" s="18">
        <v>446.87063692242464</v>
      </c>
      <c r="T15" s="18">
        <v>460.27675603009737</v>
      </c>
      <c r="U15" s="18">
        <f>T15*(0.98)</f>
        <v>451.07122090949542</v>
      </c>
      <c r="V15" s="18">
        <v>464.60335753678032</v>
      </c>
      <c r="W15" s="18">
        <v>478.54145826288374</v>
      </c>
      <c r="X15" s="18">
        <f>W15*(0.98)</f>
        <v>468.97062909762604</v>
      </c>
      <c r="Y15" s="18">
        <v>483.03974797055486</v>
      </c>
      <c r="Z15" s="18">
        <v>497.53094040967153</v>
      </c>
      <c r="AA15" s="18">
        <f>Z15*(0.98)</f>
        <v>487.58032160147809</v>
      </c>
      <c r="AB15" s="18">
        <v>502.20773124952245</v>
      </c>
      <c r="AC15" s="18">
        <f>AB15*(0.98)</f>
        <v>492.16357662453197</v>
      </c>
      <c r="AD15" s="18">
        <v>506.92848392326795</v>
      </c>
      <c r="AE15" s="18">
        <f>AD15*(0.98)</f>
        <v>496.78991424480256</v>
      </c>
      <c r="AF15" s="18">
        <v>511.69361167214663</v>
      </c>
      <c r="AG15" s="18">
        <f>AF15*(0.98)</f>
        <v>501.45973943870371</v>
      </c>
      <c r="AH15" s="18">
        <v>516.50353162186479</v>
      </c>
      <c r="AI15" s="18">
        <v>531.99863757052071</v>
      </c>
      <c r="AJ15" s="18">
        <v>547.95859669763638</v>
      </c>
      <c r="AK15" s="18">
        <f>AJ15*(0.98)</f>
        <v>536.99942476368369</v>
      </c>
      <c r="AL15" s="18">
        <v>553.10940750659427</v>
      </c>
      <c r="AM15" s="18">
        <v>569.70268973179213</v>
      </c>
    </row>
    <row r="16" spans="1:39" s="17" customFormat="1" ht="21" customHeight="1" x14ac:dyDescent="0.3">
      <c r="B16" s="4" t="s">
        <v>14</v>
      </c>
      <c r="C16" s="15"/>
      <c r="D16" s="18">
        <v>1000</v>
      </c>
      <c r="E16" s="18">
        <v>1040</v>
      </c>
      <c r="F16" s="18">
        <f>E16*(0.9)</f>
        <v>936</v>
      </c>
      <c r="G16" s="18">
        <v>973.44</v>
      </c>
      <c r="H16" s="18">
        <v>1012.3776000000001</v>
      </c>
      <c r="I16" s="18">
        <f t="shared" ref="I16:I22" si="43">H16*(0.98)</f>
        <v>992.1300480000001</v>
      </c>
      <c r="J16" s="18">
        <v>1031.81524992</v>
      </c>
      <c r="K16" s="18">
        <v>1073.0878599168</v>
      </c>
      <c r="L16" s="18">
        <v>1116.0113743134721</v>
      </c>
      <c r="M16" s="18">
        <f t="shared" ref="M16:M22" si="44">L16*(0.98)</f>
        <v>1093.6911468272026</v>
      </c>
      <c r="N16" s="18">
        <v>1137.4387927002908</v>
      </c>
      <c r="O16" s="18">
        <v>1182.9363444083026</v>
      </c>
      <c r="P16" s="18">
        <v>1230.2537981846347</v>
      </c>
      <c r="Q16" s="18">
        <f t="shared" ref="Q16:Q22" si="45">P16*(0.98)</f>
        <v>1205.6487222209419</v>
      </c>
      <c r="R16" s="18">
        <v>1253.8746711097797</v>
      </c>
      <c r="S16" s="18">
        <v>1304.0296579541709</v>
      </c>
      <c r="T16" s="18">
        <v>1356.1908442723379</v>
      </c>
      <c r="U16" s="18">
        <f t="shared" ref="U16:U22" si="46">T16*(0.98)</f>
        <v>1329.0670273868911</v>
      </c>
      <c r="V16" s="18">
        <v>1382.2297084823667</v>
      </c>
      <c r="W16" s="18">
        <v>1437.5188968216614</v>
      </c>
      <c r="X16" s="18">
        <f t="shared" ref="X16:X22" si="47">W16*(0.98)</f>
        <v>1408.7685188852281</v>
      </c>
      <c r="Y16" s="18">
        <v>1465.1192596406372</v>
      </c>
      <c r="Z16" s="18">
        <v>1523.7240300262627</v>
      </c>
      <c r="AA16" s="18">
        <f t="shared" ref="AA16:AA22" si="48">Z16*(0.98)</f>
        <v>1493.2495494257373</v>
      </c>
      <c r="AB16" s="18">
        <v>1552.979531402767</v>
      </c>
      <c r="AC16" s="18">
        <f t="shared" ref="AC16:AC22" si="49">AB16*(0.98)</f>
        <v>1521.9199407747117</v>
      </c>
      <c r="AD16" s="18">
        <v>1582.7967384057001</v>
      </c>
      <c r="AE16" s="18">
        <f t="shared" ref="AE16:AE22" si="50">AD16*(0.98)</f>
        <v>1551.140803637586</v>
      </c>
      <c r="AF16" s="18">
        <v>1613.1864357830896</v>
      </c>
      <c r="AG16" s="18">
        <f t="shared" ref="AG16:AG22" si="51">AF16*(0.98)</f>
        <v>1580.9227070674278</v>
      </c>
      <c r="AH16" s="18">
        <v>1644.159615350125</v>
      </c>
      <c r="AI16" s="18">
        <v>1709.9259999641301</v>
      </c>
      <c r="AJ16" s="18">
        <v>1778.3230399626955</v>
      </c>
      <c r="AK16" s="18">
        <f t="shared" ref="AK16:AK22" si="52">AJ16*(0.98)</f>
        <v>1742.7565791634415</v>
      </c>
      <c r="AL16" s="18">
        <v>1812.4668423299793</v>
      </c>
      <c r="AM16" s="18">
        <v>1884.9655160231785</v>
      </c>
    </row>
    <row r="17" spans="2:39" s="17" customFormat="1" ht="21" customHeight="1" x14ac:dyDescent="0.3">
      <c r="B17" s="4" t="s">
        <v>15</v>
      </c>
      <c r="C17" s="15"/>
      <c r="D17" s="18">
        <v>4000</v>
      </c>
      <c r="E17" s="18">
        <v>4200</v>
      </c>
      <c r="F17" s="18">
        <f t="shared" ref="F17:F22" si="53">E17*(0.98)</f>
        <v>4116</v>
      </c>
      <c r="G17" s="18">
        <v>4321.8</v>
      </c>
      <c r="H17" s="18">
        <v>4537.8900000000003</v>
      </c>
      <c r="I17" s="18">
        <f t="shared" si="43"/>
        <v>4447.1322</v>
      </c>
      <c r="J17" s="18">
        <v>4669.4888099999998</v>
      </c>
      <c r="K17" s="18">
        <v>4902.9632505</v>
      </c>
      <c r="L17" s="18">
        <v>5148.1114130249998</v>
      </c>
      <c r="M17" s="18">
        <f t="shared" si="44"/>
        <v>5045.1491847644993</v>
      </c>
      <c r="N17" s="18">
        <v>5297.4066440027245</v>
      </c>
      <c r="O17" s="18">
        <v>5562.2769762028611</v>
      </c>
      <c r="P17" s="18">
        <v>5840.3908250130044</v>
      </c>
      <c r="Q17" s="18">
        <f t="shared" si="45"/>
        <v>5723.5830085127445</v>
      </c>
      <c r="R17" s="18">
        <v>6009.7621589383816</v>
      </c>
      <c r="S17" s="18">
        <v>6310.2502668853012</v>
      </c>
      <c r="T17" s="18">
        <v>6625.7627802295665</v>
      </c>
      <c r="U17" s="18">
        <f t="shared" si="46"/>
        <v>6493.2475246249751</v>
      </c>
      <c r="V17" s="18">
        <v>6817.9099008562243</v>
      </c>
      <c r="W17" s="18">
        <v>7158.8053958990358</v>
      </c>
      <c r="X17" s="18">
        <f t="shared" si="47"/>
        <v>7015.6292879810553</v>
      </c>
      <c r="Y17" s="18">
        <v>7366.4107523801085</v>
      </c>
      <c r="Z17" s="18">
        <v>7734.7312899991139</v>
      </c>
      <c r="AA17" s="18">
        <f t="shared" si="48"/>
        <v>7580.0366641991313</v>
      </c>
      <c r="AB17" s="18">
        <v>7959.0384974090884</v>
      </c>
      <c r="AC17" s="18">
        <f t="shared" si="49"/>
        <v>7799.857727460907</v>
      </c>
      <c r="AD17" s="18">
        <v>8189.8506138339526</v>
      </c>
      <c r="AE17" s="18">
        <f t="shared" si="50"/>
        <v>8026.0536015572734</v>
      </c>
      <c r="AF17" s="18">
        <v>8427.3562816351368</v>
      </c>
      <c r="AG17" s="18">
        <f t="shared" si="51"/>
        <v>8258.8091560024332</v>
      </c>
      <c r="AH17" s="18">
        <v>8671.7496138025544</v>
      </c>
      <c r="AI17" s="18">
        <v>9105.3370944926828</v>
      </c>
      <c r="AJ17" s="18">
        <v>9560.6039492173168</v>
      </c>
      <c r="AK17" s="18">
        <f t="shared" si="52"/>
        <v>9369.3918702329702</v>
      </c>
      <c r="AL17" s="18">
        <v>9837.861463744619</v>
      </c>
      <c r="AM17" s="18">
        <v>10329.75453693185</v>
      </c>
    </row>
    <row r="18" spans="2:39" s="17" customFormat="1" ht="21" customHeight="1" x14ac:dyDescent="0.3">
      <c r="B18" s="4" t="s">
        <v>16</v>
      </c>
      <c r="C18" s="15"/>
      <c r="D18" s="18">
        <v>250</v>
      </c>
      <c r="E18" s="18">
        <v>257.5</v>
      </c>
      <c r="F18" s="18">
        <f t="shared" si="53"/>
        <v>252.35</v>
      </c>
      <c r="G18" s="18">
        <v>259.9205</v>
      </c>
      <c r="H18" s="18">
        <v>267.71811500000001</v>
      </c>
      <c r="I18" s="18">
        <f t="shared" si="43"/>
        <v>262.36375270000002</v>
      </c>
      <c r="J18" s="18">
        <v>270.23466528100005</v>
      </c>
      <c r="K18" s="18">
        <v>278.34170523943004</v>
      </c>
      <c r="L18" s="18">
        <v>286.69195639661297</v>
      </c>
      <c r="M18" s="18">
        <f t="shared" si="44"/>
        <v>280.95811726868072</v>
      </c>
      <c r="N18" s="18">
        <v>289.38686078674118</v>
      </c>
      <c r="O18" s="18">
        <v>298.06846661034342</v>
      </c>
      <c r="P18" s="18">
        <v>307.01052060865374</v>
      </c>
      <c r="Q18" s="18">
        <f t="shared" si="45"/>
        <v>300.87031019648066</v>
      </c>
      <c r="R18" s="18">
        <v>309.89641950237507</v>
      </c>
      <c r="S18" s="18">
        <v>319.19331208744632</v>
      </c>
      <c r="T18" s="18">
        <v>328.76911145006972</v>
      </c>
      <c r="U18" s="18">
        <f t="shared" si="46"/>
        <v>322.19372922106834</v>
      </c>
      <c r="V18" s="18">
        <v>331.8595410977004</v>
      </c>
      <c r="W18" s="18">
        <v>341.81532733063142</v>
      </c>
      <c r="X18" s="18">
        <f t="shared" si="47"/>
        <v>334.97902078401876</v>
      </c>
      <c r="Y18" s="18">
        <v>345.02839140753935</v>
      </c>
      <c r="Z18" s="18">
        <v>355.37924314976556</v>
      </c>
      <c r="AA18" s="18">
        <f t="shared" si="48"/>
        <v>348.27165828677022</v>
      </c>
      <c r="AB18" s="18">
        <v>358.71980803537332</v>
      </c>
      <c r="AC18" s="18">
        <f t="shared" si="49"/>
        <v>351.54541187466583</v>
      </c>
      <c r="AD18" s="18">
        <v>362.0917742309058</v>
      </c>
      <c r="AE18" s="18">
        <f t="shared" si="50"/>
        <v>354.84993874628765</v>
      </c>
      <c r="AF18" s="18">
        <v>365.49543690867631</v>
      </c>
      <c r="AG18" s="18">
        <f t="shared" si="51"/>
        <v>358.18552817050278</v>
      </c>
      <c r="AH18" s="18">
        <v>368.93109401561787</v>
      </c>
      <c r="AI18" s="18">
        <v>379.99902683608644</v>
      </c>
      <c r="AJ18" s="18">
        <v>391.39899764116905</v>
      </c>
      <c r="AK18" s="18">
        <f t="shared" si="52"/>
        <v>383.57101768834565</v>
      </c>
      <c r="AL18" s="18">
        <v>395.07814821899603</v>
      </c>
      <c r="AM18" s="18">
        <v>406.93049266556591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f t="shared" si="53"/>
        <v>0</v>
      </c>
      <c r="G19" s="18">
        <v>0</v>
      </c>
      <c r="H19" s="18">
        <v>0</v>
      </c>
      <c r="I19" s="18">
        <f t="shared" si="43"/>
        <v>0</v>
      </c>
      <c r="J19" s="18">
        <v>0</v>
      </c>
      <c r="K19" s="18">
        <v>0</v>
      </c>
      <c r="L19" s="18">
        <v>0</v>
      </c>
      <c r="M19" s="18">
        <f t="shared" si="44"/>
        <v>0</v>
      </c>
      <c r="N19" s="18">
        <v>0</v>
      </c>
      <c r="O19" s="18">
        <v>0</v>
      </c>
      <c r="P19" s="18">
        <v>0</v>
      </c>
      <c r="Q19" s="18">
        <f t="shared" si="45"/>
        <v>0</v>
      </c>
      <c r="R19" s="18">
        <v>0</v>
      </c>
      <c r="S19" s="18">
        <v>0</v>
      </c>
      <c r="T19" s="18">
        <v>0</v>
      </c>
      <c r="U19" s="18">
        <f t="shared" si="46"/>
        <v>0</v>
      </c>
      <c r="V19" s="18">
        <v>0</v>
      </c>
      <c r="W19" s="18">
        <v>0</v>
      </c>
      <c r="X19" s="18">
        <f t="shared" si="47"/>
        <v>0</v>
      </c>
      <c r="Y19" s="18">
        <v>0</v>
      </c>
      <c r="Z19" s="18">
        <v>0</v>
      </c>
      <c r="AA19" s="18">
        <f t="shared" si="48"/>
        <v>0</v>
      </c>
      <c r="AB19" s="18">
        <v>0</v>
      </c>
      <c r="AC19" s="18">
        <f t="shared" si="49"/>
        <v>0</v>
      </c>
      <c r="AD19" s="18">
        <v>0</v>
      </c>
      <c r="AE19" s="18">
        <f t="shared" si="50"/>
        <v>0</v>
      </c>
      <c r="AF19" s="18">
        <v>0</v>
      </c>
      <c r="AG19" s="18">
        <f t="shared" si="51"/>
        <v>0</v>
      </c>
      <c r="AH19" s="18">
        <v>0</v>
      </c>
      <c r="AI19" s="18">
        <v>0</v>
      </c>
      <c r="AJ19" s="18">
        <v>0</v>
      </c>
      <c r="AK19" s="18">
        <f t="shared" si="52"/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f t="shared" si="53"/>
        <v>823.19999999999993</v>
      </c>
      <c r="G20" s="18">
        <v>864.36</v>
      </c>
      <c r="H20" s="18">
        <v>907.57800000000009</v>
      </c>
      <c r="I20" s="18">
        <f t="shared" si="43"/>
        <v>889.42644000000007</v>
      </c>
      <c r="J20" s="18">
        <v>933.89776200000006</v>
      </c>
      <c r="K20" s="18">
        <v>980.59265010000013</v>
      </c>
      <c r="L20" s="18">
        <v>1029.6222826050002</v>
      </c>
      <c r="M20" s="18">
        <f t="shared" si="44"/>
        <v>1009.0298369529003</v>
      </c>
      <c r="N20" s="18">
        <v>1059.4813288005453</v>
      </c>
      <c r="O20" s="18">
        <v>1112.4553952405727</v>
      </c>
      <c r="P20" s="18">
        <v>1168.0781650026013</v>
      </c>
      <c r="Q20" s="18">
        <f t="shared" si="45"/>
        <v>1144.7166017025493</v>
      </c>
      <c r="R20" s="18">
        <v>1201.9524317876767</v>
      </c>
      <c r="S20" s="18">
        <v>1262.0500533770605</v>
      </c>
      <c r="T20" s="18">
        <v>1325.1525560459136</v>
      </c>
      <c r="U20" s="18">
        <f t="shared" si="46"/>
        <v>1298.6495049249952</v>
      </c>
      <c r="V20" s="18">
        <v>1363.581980171245</v>
      </c>
      <c r="W20" s="18">
        <v>1431.7610791798074</v>
      </c>
      <c r="X20" s="18">
        <f t="shared" si="47"/>
        <v>1403.1258575962113</v>
      </c>
      <c r="Y20" s="18">
        <v>1473.282150476022</v>
      </c>
      <c r="Z20" s="18">
        <v>1546.9462579998233</v>
      </c>
      <c r="AA20" s="18">
        <f t="shared" si="48"/>
        <v>1516.0073328398269</v>
      </c>
      <c r="AB20" s="18">
        <v>1591.8076994818182</v>
      </c>
      <c r="AC20" s="18">
        <f t="shared" si="49"/>
        <v>1559.9715454921818</v>
      </c>
      <c r="AD20" s="18">
        <v>1637.9701227667911</v>
      </c>
      <c r="AE20" s="18">
        <f t="shared" si="50"/>
        <v>1605.2107203114551</v>
      </c>
      <c r="AF20" s="18">
        <v>1685.471256327028</v>
      </c>
      <c r="AG20" s="18">
        <f t="shared" si="51"/>
        <v>1651.7618312004874</v>
      </c>
      <c r="AH20" s="18">
        <v>1734.3499227605118</v>
      </c>
      <c r="AI20" s="18">
        <v>1821.0674188985374</v>
      </c>
      <c r="AJ20" s="18">
        <v>1912.1207898434643</v>
      </c>
      <c r="AK20" s="18">
        <f t="shared" si="52"/>
        <v>1873.8783740465949</v>
      </c>
      <c r="AL20" s="18">
        <v>1967.5722927489248</v>
      </c>
      <c r="AM20" s="18">
        <v>2065.950907386371</v>
      </c>
    </row>
    <row r="21" spans="2:39" s="17" customFormat="1" ht="21" customHeight="1" x14ac:dyDescent="0.3">
      <c r="B21" s="7" t="s">
        <v>19</v>
      </c>
      <c r="C21" s="15"/>
      <c r="D21" s="18">
        <v>3500</v>
      </c>
      <c r="E21" s="18">
        <v>3605</v>
      </c>
      <c r="F21" s="18">
        <f t="shared" si="53"/>
        <v>3532.9</v>
      </c>
      <c r="G21" s="18">
        <v>3638.8870000000002</v>
      </c>
      <c r="H21" s="18">
        <v>3748.0536100000004</v>
      </c>
      <c r="I21" s="18">
        <f t="shared" si="43"/>
        <v>3673.0925378000002</v>
      </c>
      <c r="J21" s="18">
        <v>3783.2853139340004</v>
      </c>
      <c r="K21" s="18">
        <v>3896.7838733520207</v>
      </c>
      <c r="L21" s="18">
        <v>4013.6873895525814</v>
      </c>
      <c r="M21" s="18">
        <f t="shared" si="44"/>
        <v>3933.4136417615296</v>
      </c>
      <c r="N21" s="18">
        <v>4051.4160510143756</v>
      </c>
      <c r="O21" s="18">
        <v>4172.958532544807</v>
      </c>
      <c r="P21" s="18">
        <v>4298.1472885211515</v>
      </c>
      <c r="Q21" s="18">
        <f t="shared" si="45"/>
        <v>4212.1843427507283</v>
      </c>
      <c r="R21" s="18">
        <v>4338.5498730332502</v>
      </c>
      <c r="S21" s="18">
        <v>4468.7063692242482</v>
      </c>
      <c r="T21" s="18">
        <v>4602.7675603009757</v>
      </c>
      <c r="U21" s="18">
        <f t="shared" si="46"/>
        <v>4510.7122090949561</v>
      </c>
      <c r="V21" s="18">
        <v>4646.0335753678046</v>
      </c>
      <c r="W21" s="18">
        <v>4785.4145826288386</v>
      </c>
      <c r="X21" s="18">
        <f t="shared" si="47"/>
        <v>4689.7062909762617</v>
      </c>
      <c r="Y21" s="18">
        <v>4830.3974797055498</v>
      </c>
      <c r="Z21" s="18">
        <v>4975.3094040967162</v>
      </c>
      <c r="AA21" s="18">
        <f t="shared" si="48"/>
        <v>4875.8032160147814</v>
      </c>
      <c r="AB21" s="18">
        <v>5022.0773124952248</v>
      </c>
      <c r="AC21" s="18">
        <f t="shared" ref="AC21:AF21" si="54">AB21*(0.9)</f>
        <v>4519.8695812457026</v>
      </c>
      <c r="AD21" s="18">
        <f t="shared" si="54"/>
        <v>4067.8826231211324</v>
      </c>
      <c r="AE21" s="18">
        <f t="shared" si="54"/>
        <v>3661.0943608090192</v>
      </c>
      <c r="AF21" s="18">
        <f t="shared" si="54"/>
        <v>3294.9849247281172</v>
      </c>
      <c r="AG21" s="18">
        <f t="shared" si="51"/>
        <v>3229.0852262335547</v>
      </c>
      <c r="AH21" s="18">
        <v>3325.9577830205617</v>
      </c>
      <c r="AI21" s="18">
        <v>3425.7365165111787</v>
      </c>
      <c r="AJ21" s="18">
        <v>3528.5086120065143</v>
      </c>
      <c r="AK21" s="18">
        <f t="shared" ref="AK21:AM21" si="55">AJ21*(0.9)</f>
        <v>3175.6577508058631</v>
      </c>
      <c r="AL21" s="18">
        <f t="shared" si="55"/>
        <v>2858.0919757252768</v>
      </c>
      <c r="AM21" s="18">
        <f t="shared" si="55"/>
        <v>2572.2827781527494</v>
      </c>
    </row>
    <row r="22" spans="2:39" s="17" customFormat="1" ht="21" customHeight="1" x14ac:dyDescent="0.3">
      <c r="B22" s="7" t="s">
        <v>20</v>
      </c>
      <c r="C22" s="15"/>
      <c r="D22" s="18">
        <v>350</v>
      </c>
      <c r="E22" s="18">
        <v>360.5</v>
      </c>
      <c r="F22" s="18">
        <f t="shared" si="53"/>
        <v>353.29</v>
      </c>
      <c r="G22" s="18">
        <v>363.88870000000003</v>
      </c>
      <c r="H22" s="18">
        <v>374.80536100000006</v>
      </c>
      <c r="I22" s="18">
        <f t="shared" si="43"/>
        <v>367.30925378000006</v>
      </c>
      <c r="J22" s="18">
        <v>378.32853139340006</v>
      </c>
      <c r="K22" s="18">
        <v>389.67838733520205</v>
      </c>
      <c r="L22" s="18">
        <v>401.3687389552581</v>
      </c>
      <c r="M22" s="18">
        <f t="shared" si="44"/>
        <v>393.34136417615292</v>
      </c>
      <c r="N22" s="18">
        <v>405.14160510143751</v>
      </c>
      <c r="O22" s="18">
        <v>417.29585325448062</v>
      </c>
      <c r="P22" s="18">
        <v>429.81472885211502</v>
      </c>
      <c r="Q22" s="18">
        <f t="shared" si="45"/>
        <v>421.2184342750727</v>
      </c>
      <c r="R22" s="18">
        <v>433.85498730332489</v>
      </c>
      <c r="S22" s="18">
        <v>446.87063692242464</v>
      </c>
      <c r="T22" s="18">
        <v>460.27675603009737</v>
      </c>
      <c r="U22" s="18">
        <f t="shared" si="46"/>
        <v>451.07122090949542</v>
      </c>
      <c r="V22" s="18">
        <v>464.60335753678032</v>
      </c>
      <c r="W22" s="18">
        <v>478.54145826288374</v>
      </c>
      <c r="X22" s="18">
        <f t="shared" si="47"/>
        <v>468.97062909762604</v>
      </c>
      <c r="Y22" s="18">
        <v>483.03974797055486</v>
      </c>
      <c r="Z22" s="18">
        <v>497.53094040967153</v>
      </c>
      <c r="AA22" s="18">
        <f t="shared" si="48"/>
        <v>487.58032160147809</v>
      </c>
      <c r="AB22" s="18">
        <v>502.20773124952245</v>
      </c>
      <c r="AC22" s="18">
        <f t="shared" si="49"/>
        <v>492.16357662453197</v>
      </c>
      <c r="AD22" s="18">
        <v>506.92848392326795</v>
      </c>
      <c r="AE22" s="18">
        <f t="shared" si="50"/>
        <v>496.78991424480256</v>
      </c>
      <c r="AF22" s="18">
        <v>511.69361167214663</v>
      </c>
      <c r="AG22" s="18">
        <f t="shared" si="51"/>
        <v>501.45973943870371</v>
      </c>
      <c r="AH22" s="18">
        <v>516.50353162186479</v>
      </c>
      <c r="AI22" s="18">
        <v>531.99863757052071</v>
      </c>
      <c r="AJ22" s="18">
        <v>547.95859669763638</v>
      </c>
      <c r="AK22" s="18">
        <f t="shared" si="52"/>
        <v>536.99942476368369</v>
      </c>
      <c r="AL22" s="18">
        <v>553.10940750659427</v>
      </c>
      <c r="AM22" s="18">
        <v>569.70268973179213</v>
      </c>
    </row>
    <row r="23" spans="2:39" s="17" customFormat="1" ht="21" customHeight="1" x14ac:dyDescent="0.3">
      <c r="B23" s="6" t="s">
        <v>21</v>
      </c>
      <c r="C23" s="15"/>
      <c r="D23" s="19">
        <f t="shared" ref="D23:AL23" si="56">SUM(D22, D21, D20 + D19)</f>
        <v>4650</v>
      </c>
      <c r="E23" s="19">
        <f t="shared" si="56"/>
        <v>4805.5</v>
      </c>
      <c r="F23" s="19">
        <f t="shared" si="56"/>
        <v>4709.3900000000003</v>
      </c>
      <c r="G23" s="19">
        <f t="shared" si="56"/>
        <v>4867.1356999999998</v>
      </c>
      <c r="H23" s="19">
        <f t="shared" si="56"/>
        <v>5030.436971000001</v>
      </c>
      <c r="I23" s="19">
        <f t="shared" si="56"/>
        <v>4929.8282315800006</v>
      </c>
      <c r="J23" s="19">
        <f t="shared" si="56"/>
        <v>5095.5116073274003</v>
      </c>
      <c r="K23" s="19">
        <f t="shared" si="56"/>
        <v>5267.054910787223</v>
      </c>
      <c r="L23" s="19">
        <f t="shared" si="56"/>
        <v>5444.67841111284</v>
      </c>
      <c r="M23" s="19">
        <f t="shared" si="56"/>
        <v>5335.7848428905827</v>
      </c>
      <c r="N23" s="19">
        <f t="shared" si="56"/>
        <v>5516.0389849163585</v>
      </c>
      <c r="O23" s="19">
        <f t="shared" si="56"/>
        <v>5702.7097810398609</v>
      </c>
      <c r="P23" s="19">
        <f t="shared" si="56"/>
        <v>5896.0401823758675</v>
      </c>
      <c r="Q23" s="19">
        <f t="shared" si="56"/>
        <v>5778.1193787283501</v>
      </c>
      <c r="R23" s="19">
        <f t="shared" si="56"/>
        <v>5974.3572921242521</v>
      </c>
      <c r="S23" s="19">
        <f t="shared" si="56"/>
        <v>6177.6270595237329</v>
      </c>
      <c r="T23" s="19">
        <f t="shared" si="56"/>
        <v>6388.196872376986</v>
      </c>
      <c r="U23" s="19">
        <f t="shared" si="56"/>
        <v>6260.4329349294467</v>
      </c>
      <c r="V23" s="19">
        <f t="shared" si="56"/>
        <v>6474.2189130758297</v>
      </c>
      <c r="W23" s="19">
        <f t="shared" si="56"/>
        <v>6695.7171200715293</v>
      </c>
      <c r="X23" s="19">
        <f t="shared" si="56"/>
        <v>6561.8027776700992</v>
      </c>
      <c r="Y23" s="19">
        <f t="shared" si="56"/>
        <v>6786.7193781521273</v>
      </c>
      <c r="Z23" s="19">
        <f t="shared" si="56"/>
        <v>7019.7866025062112</v>
      </c>
      <c r="AA23" s="19">
        <f t="shared" si="56"/>
        <v>6879.3908704560863</v>
      </c>
      <c r="AB23" s="19">
        <f t="shared" si="56"/>
        <v>7116.0927432265653</v>
      </c>
      <c r="AC23" s="19">
        <f t="shared" si="56"/>
        <v>6572.004703362416</v>
      </c>
      <c r="AD23" s="19">
        <f t="shared" si="56"/>
        <v>6212.7812298111912</v>
      </c>
      <c r="AE23" s="19">
        <f t="shared" si="56"/>
        <v>5763.0949953652762</v>
      </c>
      <c r="AF23" s="19">
        <f t="shared" si="56"/>
        <v>5492.1497927272922</v>
      </c>
      <c r="AG23" s="19">
        <f t="shared" si="56"/>
        <v>5382.3067968727464</v>
      </c>
      <c r="AH23" s="19">
        <f t="shared" si="56"/>
        <v>5576.8112374029379</v>
      </c>
      <c r="AI23" s="19">
        <f t="shared" si="56"/>
        <v>5778.8025729802366</v>
      </c>
      <c r="AJ23" s="19">
        <f t="shared" si="56"/>
        <v>5988.5879985476149</v>
      </c>
      <c r="AK23" s="19">
        <f t="shared" si="56"/>
        <v>5586.5355496161419</v>
      </c>
      <c r="AL23" s="19">
        <f t="shared" si="56"/>
        <v>5378.7736759807958</v>
      </c>
      <c r="AM23" s="19">
        <f t="shared" ref="AM23" si="57">SUM(AM22, AM21, AM20 + AM19)</f>
        <v>5207.9363752709123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f t="shared" ref="F24:F28" si="58">E24*(0.98)</f>
        <v>0</v>
      </c>
      <c r="G24" s="18">
        <v>0</v>
      </c>
      <c r="H24" s="18">
        <v>0</v>
      </c>
      <c r="I24" s="18">
        <f t="shared" ref="I24:I28" si="59">H24*(0.98)</f>
        <v>0</v>
      </c>
      <c r="J24" s="18">
        <v>0</v>
      </c>
      <c r="K24" s="18">
        <v>0</v>
      </c>
      <c r="L24" s="18">
        <v>0</v>
      </c>
      <c r="M24" s="18">
        <f t="shared" ref="M24:M28" si="60">L24*(0.98)</f>
        <v>0</v>
      </c>
      <c r="N24" s="18">
        <v>0</v>
      </c>
      <c r="O24" s="18">
        <v>0</v>
      </c>
      <c r="P24" s="18">
        <v>0</v>
      </c>
      <c r="Q24" s="18">
        <f t="shared" ref="Q24:Q28" si="61">P24*(0.98)</f>
        <v>0</v>
      </c>
      <c r="R24" s="18">
        <v>0</v>
      </c>
      <c r="S24" s="18">
        <v>0</v>
      </c>
      <c r="T24" s="18">
        <v>0</v>
      </c>
      <c r="U24" s="18">
        <f t="shared" ref="U24:U28" si="62">T24*(0.98)</f>
        <v>0</v>
      </c>
      <c r="V24" s="18">
        <v>0</v>
      </c>
      <c r="W24" s="18">
        <v>0</v>
      </c>
      <c r="X24" s="18">
        <f t="shared" ref="X24:X28" si="63">W24*(0.98)</f>
        <v>0</v>
      </c>
      <c r="Y24" s="18">
        <v>0</v>
      </c>
      <c r="Z24" s="18">
        <v>0</v>
      </c>
      <c r="AA24" s="18">
        <f t="shared" ref="AA24:AA28" si="64">Z24*(0.98)</f>
        <v>0</v>
      </c>
      <c r="AB24" s="18">
        <v>0</v>
      </c>
      <c r="AC24" s="18">
        <f t="shared" ref="AC24:AC28" si="65">AB24*(0.98)</f>
        <v>0</v>
      </c>
      <c r="AD24" s="18">
        <v>0</v>
      </c>
      <c r="AE24" s="18">
        <f t="shared" ref="AE24:AE28" si="66">AD24*(0.98)</f>
        <v>0</v>
      </c>
      <c r="AF24" s="18">
        <v>0</v>
      </c>
      <c r="AG24" s="18">
        <f t="shared" ref="AG24:AG28" si="67">AF24*(0.98)</f>
        <v>0</v>
      </c>
      <c r="AH24" s="18">
        <v>0</v>
      </c>
      <c r="AI24" s="18">
        <v>0</v>
      </c>
      <c r="AJ24" s="18">
        <v>0</v>
      </c>
      <c r="AK24" s="18">
        <f t="shared" ref="AK24:AK28" si="68">AJ24*(0.98)</f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1000</v>
      </c>
      <c r="E25" s="18">
        <v>1020</v>
      </c>
      <c r="F25" s="18">
        <f t="shared" si="58"/>
        <v>999.6</v>
      </c>
      <c r="G25" s="18">
        <v>1019.592</v>
      </c>
      <c r="H25" s="18">
        <v>1039.9838400000001</v>
      </c>
      <c r="I25" s="18">
        <f t="shared" si="59"/>
        <v>1019.1841632000001</v>
      </c>
      <c r="J25" s="18">
        <v>1039.567846464</v>
      </c>
      <c r="K25" s="18">
        <v>1060.35920339328</v>
      </c>
      <c r="L25" s="18">
        <v>1081.5663874611457</v>
      </c>
      <c r="M25" s="18">
        <f t="shared" si="60"/>
        <v>1059.9350597119228</v>
      </c>
      <c r="N25" s="18">
        <v>1081.1337609061613</v>
      </c>
      <c r="O25" s="18">
        <v>1102.7564361242846</v>
      </c>
      <c r="P25" s="18">
        <v>1124.8115648467704</v>
      </c>
      <c r="Q25" s="18">
        <f t="shared" si="61"/>
        <v>1102.315333549835</v>
      </c>
      <c r="R25" s="18">
        <v>1124.3616402208318</v>
      </c>
      <c r="S25" s="18">
        <v>1146.8488730252484</v>
      </c>
      <c r="T25" s="18">
        <v>1169.7858504857534</v>
      </c>
      <c r="U25" s="18">
        <f t="shared" si="62"/>
        <v>1146.3901334760383</v>
      </c>
      <c r="V25" s="18">
        <v>1169.3179361455591</v>
      </c>
      <c r="W25" s="18">
        <v>1192.7042948684702</v>
      </c>
      <c r="X25" s="18">
        <f t="shared" si="63"/>
        <v>1168.8502089711008</v>
      </c>
      <c r="Y25" s="18">
        <v>1192.2272131505229</v>
      </c>
      <c r="Z25" s="18">
        <v>1216.0717574135333</v>
      </c>
      <c r="AA25" s="18">
        <f t="shared" si="64"/>
        <v>1191.7503222652626</v>
      </c>
      <c r="AB25" s="18">
        <v>1215.5853287105679</v>
      </c>
      <c r="AC25" s="18">
        <f t="shared" si="65"/>
        <v>1191.2736221363564</v>
      </c>
      <c r="AD25" s="18">
        <v>1215.0990945790836</v>
      </c>
      <c r="AE25" s="18">
        <f t="shared" si="66"/>
        <v>1190.797112687502</v>
      </c>
      <c r="AF25" s="18">
        <v>1214.6130549412521</v>
      </c>
      <c r="AG25" s="18">
        <f t="shared" si="67"/>
        <v>1190.3207938424271</v>
      </c>
      <c r="AH25" s="18">
        <v>1214.1272097192757</v>
      </c>
      <c r="AI25" s="18">
        <v>1238.4097539136612</v>
      </c>
      <c r="AJ25" s="18">
        <v>1263.1779489919345</v>
      </c>
      <c r="AK25" s="18">
        <f t="shared" si="68"/>
        <v>1237.9143900120957</v>
      </c>
      <c r="AL25" s="18">
        <v>1262.6726778123377</v>
      </c>
      <c r="AM25" s="18">
        <v>1287.9261313685845</v>
      </c>
    </row>
    <row r="26" spans="2:39" s="17" customFormat="1" ht="21" customHeight="1" x14ac:dyDescent="0.3">
      <c r="B26" s="7" t="s">
        <v>24</v>
      </c>
      <c r="C26" s="15"/>
      <c r="D26" s="18">
        <v>2500</v>
      </c>
      <c r="E26" s="18">
        <v>2575</v>
      </c>
      <c r="F26" s="18">
        <f t="shared" si="58"/>
        <v>2523.5</v>
      </c>
      <c r="G26" s="18">
        <v>2599.2049999999999</v>
      </c>
      <c r="H26" s="18">
        <v>2677.1811499999999</v>
      </c>
      <c r="I26" s="18">
        <f t="shared" si="59"/>
        <v>2623.6375269999999</v>
      </c>
      <c r="J26" s="18">
        <v>2702.3466528099998</v>
      </c>
      <c r="K26" s="18">
        <v>2783.4170523942998</v>
      </c>
      <c r="L26" s="18">
        <v>2866.9195639661289</v>
      </c>
      <c r="M26" s="18">
        <f t="shared" si="60"/>
        <v>2809.5811726868064</v>
      </c>
      <c r="N26" s="18">
        <v>2893.8686078674109</v>
      </c>
      <c r="O26" s="18">
        <v>2980.6846661034333</v>
      </c>
      <c r="P26" s="18">
        <v>3070.1052060865363</v>
      </c>
      <c r="Q26" s="18">
        <f t="shared" si="61"/>
        <v>3008.7031019648057</v>
      </c>
      <c r="R26" s="18">
        <v>3098.9641950237501</v>
      </c>
      <c r="S26" s="18">
        <v>3191.9331208744625</v>
      </c>
      <c r="T26" s="18">
        <v>3287.6911145006966</v>
      </c>
      <c r="U26" s="18">
        <f t="shared" si="62"/>
        <v>3221.9372922106827</v>
      </c>
      <c r="V26" s="18">
        <v>3318.5954109770032</v>
      </c>
      <c r="W26" s="18">
        <v>3418.1532733063136</v>
      </c>
      <c r="X26" s="18">
        <f t="shared" si="63"/>
        <v>3349.7902078401871</v>
      </c>
      <c r="Y26" s="18">
        <v>3450.2839140753927</v>
      </c>
      <c r="Z26" s="18">
        <v>3553.7924314976544</v>
      </c>
      <c r="AA26" s="18">
        <f t="shared" si="64"/>
        <v>3482.7165828677012</v>
      </c>
      <c r="AB26" s="18">
        <v>3587.1980803537322</v>
      </c>
      <c r="AC26" s="18">
        <f t="shared" si="65"/>
        <v>3515.4541187466575</v>
      </c>
      <c r="AD26" s="18">
        <v>3620.9177423090573</v>
      </c>
      <c r="AE26" s="18">
        <f t="shared" si="66"/>
        <v>3548.4993874628763</v>
      </c>
      <c r="AF26" s="18">
        <v>3654.9543690867627</v>
      </c>
      <c r="AG26" s="18">
        <f t="shared" si="67"/>
        <v>3581.8552817050272</v>
      </c>
      <c r="AH26" s="18">
        <v>3689.3109401561783</v>
      </c>
      <c r="AI26" s="18">
        <v>3799.9902683608639</v>
      </c>
      <c r="AJ26" s="18">
        <v>3913.9899764116899</v>
      </c>
      <c r="AK26" s="18">
        <f t="shared" si="68"/>
        <v>3835.7101768834559</v>
      </c>
      <c r="AL26" s="18">
        <v>3950.7814821899597</v>
      </c>
      <c r="AM26" s="18">
        <v>4069.3049266556586</v>
      </c>
    </row>
    <row r="27" spans="2:39" s="17" customFormat="1" ht="21" customHeight="1" x14ac:dyDescent="0.3">
      <c r="B27" s="7" t="s">
        <v>25</v>
      </c>
      <c r="C27" s="15"/>
      <c r="D27" s="18">
        <v>1500</v>
      </c>
      <c r="E27" s="18">
        <v>1545</v>
      </c>
      <c r="F27" s="18">
        <f t="shared" si="58"/>
        <v>1514.1</v>
      </c>
      <c r="G27" s="18">
        <v>1559.5229999999999</v>
      </c>
      <c r="H27" s="18">
        <v>1606.3086899999998</v>
      </c>
      <c r="I27" s="18">
        <f t="shared" si="59"/>
        <v>1574.1825161999998</v>
      </c>
      <c r="J27" s="18">
        <v>1621.4079916859998</v>
      </c>
      <c r="K27" s="18">
        <v>1670.0502314365799</v>
      </c>
      <c r="L27" s="18">
        <v>1720.1517383796775</v>
      </c>
      <c r="M27" s="18">
        <f t="shared" si="60"/>
        <v>1685.7487036120838</v>
      </c>
      <c r="N27" s="18">
        <v>1736.3211647204464</v>
      </c>
      <c r="O27" s="18">
        <v>1788.4107996620598</v>
      </c>
      <c r="P27" s="18">
        <v>1842.0631236519216</v>
      </c>
      <c r="Q27" s="18">
        <f t="shared" si="61"/>
        <v>1805.221861178883</v>
      </c>
      <c r="R27" s="18">
        <v>1859.3785170142496</v>
      </c>
      <c r="S27" s="18">
        <v>1915.1598725246772</v>
      </c>
      <c r="T27" s="18">
        <v>1972.6146687004175</v>
      </c>
      <c r="U27" s="18">
        <f t="shared" si="62"/>
        <v>1933.1623753264091</v>
      </c>
      <c r="V27" s="18">
        <v>1991.1572465862014</v>
      </c>
      <c r="W27" s="18">
        <v>2050.8919639837873</v>
      </c>
      <c r="X27" s="18">
        <f t="shared" si="63"/>
        <v>2009.8741247041114</v>
      </c>
      <c r="Y27" s="18">
        <v>2070.1703484452346</v>
      </c>
      <c r="Z27" s="18">
        <v>2132.2754588985918</v>
      </c>
      <c r="AA27" s="18">
        <f t="shared" si="64"/>
        <v>2089.6299497206201</v>
      </c>
      <c r="AB27" s="18">
        <v>2152.3188482122387</v>
      </c>
      <c r="AC27" s="18">
        <f t="shared" si="65"/>
        <v>2109.272471247994</v>
      </c>
      <c r="AD27" s="18">
        <v>2172.5506453854337</v>
      </c>
      <c r="AE27" s="18">
        <f t="shared" si="66"/>
        <v>2129.0996324777248</v>
      </c>
      <c r="AF27" s="18">
        <v>2192.9726214520565</v>
      </c>
      <c r="AG27" s="18">
        <f t="shared" si="67"/>
        <v>2149.1131690230154</v>
      </c>
      <c r="AH27" s="18">
        <v>2213.5865640937059</v>
      </c>
      <c r="AI27" s="18">
        <v>2279.994161016517</v>
      </c>
      <c r="AJ27" s="18">
        <v>2348.3939858470126</v>
      </c>
      <c r="AK27" s="18">
        <f t="shared" si="68"/>
        <v>2301.4261061300722</v>
      </c>
      <c r="AL27" s="18">
        <v>2370.4688893139746</v>
      </c>
      <c r="AM27" s="18">
        <v>2441.5829559933941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f t="shared" si="58"/>
        <v>2018.8</v>
      </c>
      <c r="G28" s="18">
        <v>2079.364</v>
      </c>
      <c r="H28" s="18">
        <v>2141.7449200000001</v>
      </c>
      <c r="I28" s="18">
        <f t="shared" si="59"/>
        <v>2098.9100216000002</v>
      </c>
      <c r="J28" s="18">
        <v>2161.8773222480004</v>
      </c>
      <c r="K28" s="18">
        <v>2226.7336419154403</v>
      </c>
      <c r="L28" s="18">
        <v>2293.5356511729037</v>
      </c>
      <c r="M28" s="18">
        <f t="shared" si="60"/>
        <v>2247.6649381494458</v>
      </c>
      <c r="N28" s="18">
        <v>2315.0948862939294</v>
      </c>
      <c r="O28" s="18">
        <v>2384.5477328827474</v>
      </c>
      <c r="P28" s="18">
        <v>2456.0841648692299</v>
      </c>
      <c r="Q28" s="18">
        <f t="shared" si="61"/>
        <v>2406.9624815718453</v>
      </c>
      <c r="R28" s="18">
        <v>2479.1713560190005</v>
      </c>
      <c r="S28" s="18">
        <v>2553.5464966995705</v>
      </c>
      <c r="T28" s="18">
        <v>2630.1528916005577</v>
      </c>
      <c r="U28" s="18">
        <f t="shared" si="62"/>
        <v>2577.5498337685467</v>
      </c>
      <c r="V28" s="18">
        <v>2654.8763287816032</v>
      </c>
      <c r="W28" s="18">
        <v>2734.5226186450514</v>
      </c>
      <c r="X28" s="18">
        <f t="shared" si="63"/>
        <v>2679.8321662721501</v>
      </c>
      <c r="Y28" s="18">
        <v>2760.2271312603148</v>
      </c>
      <c r="Z28" s="18">
        <v>2843.0339451981245</v>
      </c>
      <c r="AA28" s="18">
        <f t="shared" si="64"/>
        <v>2786.1732662941617</v>
      </c>
      <c r="AB28" s="18">
        <v>2869.7584642829866</v>
      </c>
      <c r="AC28" s="18">
        <f t="shared" si="65"/>
        <v>2812.3632949973266</v>
      </c>
      <c r="AD28" s="18">
        <v>2896.7341938472464</v>
      </c>
      <c r="AE28" s="18">
        <f t="shared" si="66"/>
        <v>2838.7995099703012</v>
      </c>
      <c r="AF28" s="18">
        <v>2923.9634952694105</v>
      </c>
      <c r="AG28" s="18">
        <f t="shared" si="67"/>
        <v>2865.4842253640222</v>
      </c>
      <c r="AH28" s="18">
        <v>2951.448752124943</v>
      </c>
      <c r="AI28" s="18">
        <v>3039.9922146886915</v>
      </c>
      <c r="AJ28" s="18">
        <v>3131.1919811293524</v>
      </c>
      <c r="AK28" s="18">
        <f t="shared" si="68"/>
        <v>3068.5681415067652</v>
      </c>
      <c r="AL28" s="18">
        <v>3160.6251857519683</v>
      </c>
      <c r="AM28" s="18">
        <v>3255.4439413245273</v>
      </c>
    </row>
    <row r="29" spans="2:39" s="17" customFormat="1" ht="21" customHeight="1" x14ac:dyDescent="0.3">
      <c r="B29" s="6" t="s">
        <v>27</v>
      </c>
      <c r="C29" s="15"/>
      <c r="D29" s="19">
        <f t="shared" ref="D29:AL29" si="69">SUM(D28, D27, D26, D25 + D24)</f>
        <v>7000</v>
      </c>
      <c r="E29" s="19">
        <f t="shared" si="69"/>
        <v>7200</v>
      </c>
      <c r="F29" s="19">
        <f t="shared" si="69"/>
        <v>7056</v>
      </c>
      <c r="G29" s="19">
        <f t="shared" si="69"/>
        <v>7257.6839999999993</v>
      </c>
      <c r="H29" s="19">
        <f t="shared" si="69"/>
        <v>7465.2185999999992</v>
      </c>
      <c r="I29" s="19">
        <f t="shared" si="69"/>
        <v>7315.9142279999996</v>
      </c>
      <c r="J29" s="19">
        <f t="shared" si="69"/>
        <v>7525.1998132080007</v>
      </c>
      <c r="K29" s="19">
        <f t="shared" si="69"/>
        <v>7740.5601291395997</v>
      </c>
      <c r="L29" s="19">
        <f t="shared" si="69"/>
        <v>7962.1733409798562</v>
      </c>
      <c r="M29" s="19">
        <f t="shared" si="69"/>
        <v>7802.9298741602588</v>
      </c>
      <c r="N29" s="19">
        <f t="shared" si="69"/>
        <v>8026.4184197879476</v>
      </c>
      <c r="O29" s="19">
        <f t="shared" si="69"/>
        <v>8256.3996347725242</v>
      </c>
      <c r="P29" s="19">
        <f t="shared" si="69"/>
        <v>8493.0640594544584</v>
      </c>
      <c r="Q29" s="19">
        <f t="shared" si="69"/>
        <v>8323.2027782653695</v>
      </c>
      <c r="R29" s="19">
        <f t="shared" si="69"/>
        <v>8561.875708277832</v>
      </c>
      <c r="S29" s="19">
        <f t="shared" si="69"/>
        <v>8807.4883631239591</v>
      </c>
      <c r="T29" s="19">
        <f t="shared" si="69"/>
        <v>9060.2445252874259</v>
      </c>
      <c r="U29" s="19">
        <f t="shared" si="69"/>
        <v>8879.0396347816768</v>
      </c>
      <c r="V29" s="19">
        <f t="shared" si="69"/>
        <v>9133.946922490366</v>
      </c>
      <c r="W29" s="19">
        <f t="shared" si="69"/>
        <v>9396.2721508036229</v>
      </c>
      <c r="X29" s="19">
        <f t="shared" si="69"/>
        <v>9208.3467077875484</v>
      </c>
      <c r="Y29" s="19">
        <f t="shared" si="69"/>
        <v>9472.9086069314653</v>
      </c>
      <c r="Z29" s="19">
        <f t="shared" si="69"/>
        <v>9745.1735930079049</v>
      </c>
      <c r="AA29" s="19">
        <f t="shared" si="69"/>
        <v>9550.2701211477452</v>
      </c>
      <c r="AB29" s="19">
        <f t="shared" si="69"/>
        <v>9824.8607215595239</v>
      </c>
      <c r="AC29" s="19">
        <f t="shared" si="69"/>
        <v>9628.3635071283352</v>
      </c>
      <c r="AD29" s="19">
        <f t="shared" si="69"/>
        <v>9905.30167612082</v>
      </c>
      <c r="AE29" s="19">
        <f t="shared" si="69"/>
        <v>9707.1956425984044</v>
      </c>
      <c r="AF29" s="19">
        <f t="shared" si="69"/>
        <v>9986.5035407494815</v>
      </c>
      <c r="AG29" s="19">
        <f t="shared" si="69"/>
        <v>9786.7734699344928</v>
      </c>
      <c r="AH29" s="19">
        <f t="shared" si="69"/>
        <v>10068.473466094103</v>
      </c>
      <c r="AI29" s="19">
        <f t="shared" si="69"/>
        <v>10358.386397979733</v>
      </c>
      <c r="AJ29" s="19">
        <f t="shared" si="69"/>
        <v>10656.753892379991</v>
      </c>
      <c r="AK29" s="19">
        <f t="shared" si="69"/>
        <v>10443.61881453239</v>
      </c>
      <c r="AL29" s="19">
        <f t="shared" si="69"/>
        <v>10744.54823506824</v>
      </c>
      <c r="AM29" s="19">
        <f t="shared" ref="AM29" si="70">SUM(AM28, AM27, AM26, AM25 + AM24)</f>
        <v>11054.257955342164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f t="shared" ref="F30:F35" si="71">E30*(0.98)</f>
        <v>0</v>
      </c>
      <c r="G30" s="18">
        <v>0</v>
      </c>
      <c r="H30" s="18">
        <v>0</v>
      </c>
      <c r="I30" s="18">
        <f t="shared" ref="I30:I35" si="72">H30*(0.98)</f>
        <v>0</v>
      </c>
      <c r="J30" s="18">
        <v>0</v>
      </c>
      <c r="K30" s="18">
        <v>0</v>
      </c>
      <c r="L30" s="18">
        <v>0</v>
      </c>
      <c r="M30" s="18">
        <f t="shared" ref="M30:M35" si="73">L30*(0.98)</f>
        <v>0</v>
      </c>
      <c r="N30" s="18">
        <v>0</v>
      </c>
      <c r="O30" s="18">
        <v>0</v>
      </c>
      <c r="P30" s="18">
        <v>0</v>
      </c>
      <c r="Q30" s="18">
        <f t="shared" ref="Q30:Q35" si="74">P30*(0.98)</f>
        <v>0</v>
      </c>
      <c r="R30" s="18">
        <v>0</v>
      </c>
      <c r="S30" s="18">
        <v>0</v>
      </c>
      <c r="T30" s="18">
        <v>0</v>
      </c>
      <c r="U30" s="18">
        <f t="shared" ref="U30:U35" si="75">T30*(0.98)</f>
        <v>0</v>
      </c>
      <c r="V30" s="18">
        <v>0</v>
      </c>
      <c r="W30" s="18">
        <v>0</v>
      </c>
      <c r="X30" s="18">
        <f t="shared" ref="X30:X35" si="76">W30*(0.98)</f>
        <v>0</v>
      </c>
      <c r="Y30" s="18">
        <v>0</v>
      </c>
      <c r="Z30" s="18">
        <v>0</v>
      </c>
      <c r="AA30" s="18">
        <f t="shared" ref="AA30:AA35" si="77">Z30*(0.98)</f>
        <v>0</v>
      </c>
      <c r="AB30" s="18">
        <v>0</v>
      </c>
      <c r="AC30" s="18">
        <f t="shared" ref="AC30:AC35" si="78">AB30*(0.98)</f>
        <v>0</v>
      </c>
      <c r="AD30" s="18">
        <v>0</v>
      </c>
      <c r="AE30" s="18">
        <f t="shared" ref="AE30:AE35" si="79">AD30*(0.98)</f>
        <v>0</v>
      </c>
      <c r="AF30" s="18">
        <v>0</v>
      </c>
      <c r="AG30" s="18">
        <f t="shared" ref="AG30:AG35" si="80">AF30*(0.98)</f>
        <v>0</v>
      </c>
      <c r="AH30" s="18">
        <v>0</v>
      </c>
      <c r="AI30" s="18">
        <v>0</v>
      </c>
      <c r="AJ30" s="18">
        <v>0</v>
      </c>
      <c r="AK30" s="18">
        <f t="shared" ref="AK30:AK35" si="81">AJ30*(0.98)</f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5000</v>
      </c>
      <c r="E31" s="18">
        <v>5250</v>
      </c>
      <c r="F31" s="18">
        <f t="shared" si="71"/>
        <v>5145</v>
      </c>
      <c r="G31" s="18">
        <f t="shared" ref="G31:I31" si="82">F31*(0.9)</f>
        <v>4630.5</v>
      </c>
      <c r="H31" s="18">
        <f t="shared" si="82"/>
        <v>4167.45</v>
      </c>
      <c r="I31" s="18">
        <f t="shared" si="82"/>
        <v>3750.7049999999999</v>
      </c>
      <c r="J31" s="18">
        <v>3938.2402500000003</v>
      </c>
      <c r="K31" s="18">
        <v>4135.1522625000007</v>
      </c>
      <c r="L31" s="18">
        <v>4341.9098756250005</v>
      </c>
      <c r="M31" s="18">
        <f t="shared" si="73"/>
        <v>4255.0716781125002</v>
      </c>
      <c r="N31" s="18">
        <v>4467.8252620181256</v>
      </c>
      <c r="O31" s="18">
        <v>4691.2165251190318</v>
      </c>
      <c r="P31" s="18">
        <v>4925.7773513749835</v>
      </c>
      <c r="Q31" s="18">
        <f t="shared" si="74"/>
        <v>4827.261804347484</v>
      </c>
      <c r="R31" s="18">
        <f t="shared" ref="R31:S31" si="83">Q31*(0.9)</f>
        <v>4344.5356239127359</v>
      </c>
      <c r="S31" s="18">
        <f t="shared" si="83"/>
        <v>3910.0820615214625</v>
      </c>
      <c r="T31" s="18">
        <v>4105.5861645975356</v>
      </c>
      <c r="U31" s="18">
        <f t="shared" si="75"/>
        <v>4023.4744413055846</v>
      </c>
      <c r="V31" s="18">
        <v>4224.6481633708636</v>
      </c>
      <c r="W31" s="18">
        <v>4435.8805715394074</v>
      </c>
      <c r="X31" s="18">
        <f t="shared" si="76"/>
        <v>4347.1629601086188</v>
      </c>
      <c r="Y31" s="18">
        <f t="shared" ref="Y31:AA31" si="84">X31*(0.9)</f>
        <v>3912.4466640977571</v>
      </c>
      <c r="Z31" s="18">
        <f t="shared" si="84"/>
        <v>3521.2019976879815</v>
      </c>
      <c r="AA31" s="18">
        <f t="shared" si="84"/>
        <v>3169.0817979191834</v>
      </c>
      <c r="AB31" s="18">
        <v>3327.5358878151428</v>
      </c>
      <c r="AC31" s="18">
        <f t="shared" si="78"/>
        <v>3260.9851700588397</v>
      </c>
      <c r="AD31" s="18">
        <v>3424.0344285617816</v>
      </c>
      <c r="AE31" s="18">
        <f t="shared" si="79"/>
        <v>3355.5537399905461</v>
      </c>
      <c r="AF31" s="18">
        <v>3523.3314269900734</v>
      </c>
      <c r="AG31" s="18">
        <f t="shared" ref="AG31:AI31" si="85">AF31*(0.9)</f>
        <v>3170.9982842910663</v>
      </c>
      <c r="AH31" s="18">
        <f t="shared" si="85"/>
        <v>2853.8984558619595</v>
      </c>
      <c r="AI31" s="18">
        <f t="shared" si="85"/>
        <v>2568.5086102757637</v>
      </c>
      <c r="AJ31" s="18">
        <v>2696.934040789552</v>
      </c>
      <c r="AK31" s="18">
        <f t="shared" si="81"/>
        <v>2642.995359973761</v>
      </c>
      <c r="AL31" s="18">
        <v>2775.1451279724492</v>
      </c>
      <c r="AM31" s="18">
        <v>2913.902384371072</v>
      </c>
    </row>
    <row r="32" spans="2:39" s="17" customFormat="1" ht="21" customHeight="1" x14ac:dyDescent="0.3">
      <c r="B32" s="7" t="s">
        <v>30</v>
      </c>
      <c r="C32" s="15"/>
      <c r="D32" s="18">
        <v>500</v>
      </c>
      <c r="E32" s="18">
        <v>515</v>
      </c>
      <c r="F32" s="18">
        <f t="shared" si="71"/>
        <v>504.7</v>
      </c>
      <c r="G32" s="18">
        <v>519.84100000000001</v>
      </c>
      <c r="H32" s="18">
        <v>535.43623000000002</v>
      </c>
      <c r="I32" s="18">
        <f t="shared" si="72"/>
        <v>524.72750540000004</v>
      </c>
      <c r="J32" s="18">
        <v>540.4693305620001</v>
      </c>
      <c r="K32" s="18">
        <v>556.68341047886008</v>
      </c>
      <c r="L32" s="18">
        <v>573.38391279322593</v>
      </c>
      <c r="M32" s="18">
        <f t="shared" si="73"/>
        <v>561.91623453736145</v>
      </c>
      <c r="N32" s="18">
        <v>578.77372157348236</v>
      </c>
      <c r="O32" s="18">
        <v>596.13693322068684</v>
      </c>
      <c r="P32" s="18">
        <v>614.02104121730747</v>
      </c>
      <c r="Q32" s="18">
        <f t="shared" si="74"/>
        <v>601.74062039296132</v>
      </c>
      <c r="R32" s="18">
        <v>619.79283900475014</v>
      </c>
      <c r="S32" s="18">
        <v>638.38662417489263</v>
      </c>
      <c r="T32" s="18">
        <v>657.53822290013943</v>
      </c>
      <c r="U32" s="18">
        <f t="shared" si="75"/>
        <v>644.38745844213668</v>
      </c>
      <c r="V32" s="18">
        <v>663.7190821954008</v>
      </c>
      <c r="W32" s="18">
        <v>683.63065466126284</v>
      </c>
      <c r="X32" s="18">
        <f t="shared" si="76"/>
        <v>669.95804156803752</v>
      </c>
      <c r="Y32" s="18">
        <v>690.05678281507869</v>
      </c>
      <c r="Z32" s="18">
        <v>710.75848629953111</v>
      </c>
      <c r="AA32" s="18">
        <f t="shared" si="77"/>
        <v>696.54331657354044</v>
      </c>
      <c r="AB32" s="18">
        <v>717.43961607074664</v>
      </c>
      <c r="AC32" s="18">
        <f t="shared" si="78"/>
        <v>703.09082374933166</v>
      </c>
      <c r="AD32" s="18">
        <v>724.1835484618116</v>
      </c>
      <c r="AE32" s="18">
        <f t="shared" si="79"/>
        <v>709.6998774925753</v>
      </c>
      <c r="AF32" s="18">
        <v>730.99087381735262</v>
      </c>
      <c r="AG32" s="18">
        <f t="shared" si="80"/>
        <v>716.37105634100556</v>
      </c>
      <c r="AH32" s="18">
        <v>737.86218803123575</v>
      </c>
      <c r="AI32" s="18">
        <v>759.99805367217289</v>
      </c>
      <c r="AJ32" s="18">
        <v>782.79799528233809</v>
      </c>
      <c r="AK32" s="18">
        <f t="shared" si="81"/>
        <v>767.1420353766913</v>
      </c>
      <c r="AL32" s="18">
        <v>790.15629643799207</v>
      </c>
      <c r="AM32" s="18">
        <v>813.86098533113181</v>
      </c>
    </row>
    <row r="33" spans="2:39" s="17" customFormat="1" ht="21" customHeight="1" x14ac:dyDescent="0.3">
      <c r="B33" s="7" t="s">
        <v>31</v>
      </c>
      <c r="C33" s="15"/>
      <c r="D33" s="18">
        <v>450</v>
      </c>
      <c r="E33" s="18">
        <v>463.5</v>
      </c>
      <c r="F33" s="18">
        <f t="shared" si="71"/>
        <v>454.23</v>
      </c>
      <c r="G33" s="18">
        <v>467.85690000000005</v>
      </c>
      <c r="H33" s="18">
        <v>481.89260700000005</v>
      </c>
      <c r="I33" s="18">
        <f t="shared" si="72"/>
        <v>472.25475486000005</v>
      </c>
      <c r="J33" s="18">
        <v>486.42239750580006</v>
      </c>
      <c r="K33" s="18">
        <v>501.01506943097405</v>
      </c>
      <c r="L33" s="18">
        <v>516.04552151390328</v>
      </c>
      <c r="M33" s="18">
        <f t="shared" si="73"/>
        <v>505.72461108362523</v>
      </c>
      <c r="N33" s="18">
        <v>520.89634941613406</v>
      </c>
      <c r="O33" s="18">
        <v>536.52323989861804</v>
      </c>
      <c r="P33" s="18">
        <v>552.6189370955766</v>
      </c>
      <c r="Q33" s="18">
        <f t="shared" si="74"/>
        <v>541.56655835366507</v>
      </c>
      <c r="R33" s="18">
        <v>557.813555104275</v>
      </c>
      <c r="S33" s="18">
        <v>574.5479617574033</v>
      </c>
      <c r="T33" s="18">
        <v>591.78440061012543</v>
      </c>
      <c r="U33" s="18">
        <f t="shared" si="75"/>
        <v>579.94871259792296</v>
      </c>
      <c r="V33" s="18">
        <v>597.34717397586064</v>
      </c>
      <c r="W33" s="18">
        <v>615.26758919513645</v>
      </c>
      <c r="X33" s="18">
        <f t="shared" si="76"/>
        <v>602.96223741123367</v>
      </c>
      <c r="Y33" s="18">
        <v>621.05110453357065</v>
      </c>
      <c r="Z33" s="18">
        <v>639.68263766957784</v>
      </c>
      <c r="AA33" s="18">
        <f t="shared" si="77"/>
        <v>626.88898491618625</v>
      </c>
      <c r="AB33" s="18">
        <v>645.69565446367187</v>
      </c>
      <c r="AC33" s="18">
        <f t="shared" si="78"/>
        <v>632.78174137439839</v>
      </c>
      <c r="AD33" s="18">
        <v>651.76519361563032</v>
      </c>
      <c r="AE33" s="18">
        <f t="shared" si="79"/>
        <v>638.7298897433177</v>
      </c>
      <c r="AF33" s="18">
        <v>657.89178643561729</v>
      </c>
      <c r="AG33" s="18">
        <f t="shared" si="80"/>
        <v>644.73395070690492</v>
      </c>
      <c r="AH33" s="18">
        <v>664.07596922811206</v>
      </c>
      <c r="AI33" s="18">
        <v>683.99824830495538</v>
      </c>
      <c r="AJ33" s="18">
        <v>704.51819575410411</v>
      </c>
      <c r="AK33" s="18">
        <f t="shared" si="81"/>
        <v>690.42783183902202</v>
      </c>
      <c r="AL33" s="18">
        <v>711.14066679419273</v>
      </c>
      <c r="AM33" s="18">
        <v>732.47488679801847</v>
      </c>
    </row>
    <row r="34" spans="2:39" s="17" customFormat="1" ht="21" customHeight="1" x14ac:dyDescent="0.3">
      <c r="B34" s="7" t="s">
        <v>32</v>
      </c>
      <c r="C34" s="15"/>
      <c r="D34" s="18">
        <v>50</v>
      </c>
      <c r="E34" s="18">
        <v>52.5</v>
      </c>
      <c r="F34" s="18">
        <f t="shared" si="71"/>
        <v>51.449999999999996</v>
      </c>
      <c r="G34" s="18">
        <v>54.022500000000001</v>
      </c>
      <c r="H34" s="18">
        <v>56.723625000000006</v>
      </c>
      <c r="I34" s="18">
        <f t="shared" si="72"/>
        <v>55.589152500000004</v>
      </c>
      <c r="J34" s="18">
        <v>58.368610125000004</v>
      </c>
      <c r="K34" s="18">
        <v>61.287040631250008</v>
      </c>
      <c r="L34" s="18">
        <v>64.351392662812515</v>
      </c>
      <c r="M34" s="18">
        <f t="shared" si="73"/>
        <v>63.064364809556267</v>
      </c>
      <c r="N34" s="18">
        <v>66.217583050034079</v>
      </c>
      <c r="O34" s="18">
        <v>69.528462202535792</v>
      </c>
      <c r="P34" s="18">
        <v>73.00488531266258</v>
      </c>
      <c r="Q34" s="18">
        <f t="shared" si="74"/>
        <v>71.544787606409329</v>
      </c>
      <c r="R34" s="18">
        <v>75.122026986729793</v>
      </c>
      <c r="S34" s="18">
        <v>78.878128336066283</v>
      </c>
      <c r="T34" s="18">
        <v>82.822034752869598</v>
      </c>
      <c r="U34" s="18">
        <f t="shared" si="75"/>
        <v>81.1655940578122</v>
      </c>
      <c r="V34" s="18">
        <v>85.223873760702816</v>
      </c>
      <c r="W34" s="18">
        <v>89.485067448737965</v>
      </c>
      <c r="X34" s="18">
        <f t="shared" si="76"/>
        <v>87.695366099763206</v>
      </c>
      <c r="Y34" s="18">
        <v>92.080134404751377</v>
      </c>
      <c r="Z34" s="18">
        <v>96.684141124988955</v>
      </c>
      <c r="AA34" s="18">
        <f t="shared" si="77"/>
        <v>94.750458302489179</v>
      </c>
      <c r="AB34" s="18">
        <v>99.487981217613637</v>
      </c>
      <c r="AC34" s="18">
        <f t="shared" si="78"/>
        <v>97.498221593261363</v>
      </c>
      <c r="AD34" s="18">
        <v>102.37313267292444</v>
      </c>
      <c r="AE34" s="18">
        <f t="shared" si="79"/>
        <v>100.32567001946595</v>
      </c>
      <c r="AF34" s="18">
        <v>105.34195352043925</v>
      </c>
      <c r="AG34" s="18">
        <f t="shared" si="80"/>
        <v>103.23511445003047</v>
      </c>
      <c r="AH34" s="18">
        <v>108.39687017253199</v>
      </c>
      <c r="AI34" s="18">
        <v>113.81671368115859</v>
      </c>
      <c r="AJ34" s="18">
        <v>119.50754936521652</v>
      </c>
      <c r="AK34" s="18">
        <f t="shared" si="81"/>
        <v>117.11739837791218</v>
      </c>
      <c r="AL34" s="18">
        <v>122.9732682968078</v>
      </c>
      <c r="AM34" s="18">
        <v>129.12193171164819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f t="shared" si="71"/>
        <v>0</v>
      </c>
      <c r="G35" s="18">
        <v>0</v>
      </c>
      <c r="H35" s="18">
        <v>0</v>
      </c>
      <c r="I35" s="18">
        <f t="shared" si="72"/>
        <v>0</v>
      </c>
      <c r="J35" s="18">
        <v>0</v>
      </c>
      <c r="K35" s="18">
        <v>0</v>
      </c>
      <c r="L35" s="18">
        <v>0</v>
      </c>
      <c r="M35" s="18">
        <f t="shared" si="73"/>
        <v>0</v>
      </c>
      <c r="N35" s="18">
        <v>0</v>
      </c>
      <c r="O35" s="18">
        <v>0</v>
      </c>
      <c r="P35" s="18">
        <v>0</v>
      </c>
      <c r="Q35" s="18">
        <f t="shared" si="74"/>
        <v>0</v>
      </c>
      <c r="R35" s="18">
        <v>0</v>
      </c>
      <c r="S35" s="18">
        <v>0</v>
      </c>
      <c r="T35" s="18">
        <v>0</v>
      </c>
      <c r="U35" s="18">
        <f t="shared" si="75"/>
        <v>0</v>
      </c>
      <c r="V35" s="18">
        <v>0</v>
      </c>
      <c r="W35" s="18">
        <v>0</v>
      </c>
      <c r="X35" s="18">
        <f t="shared" si="76"/>
        <v>0</v>
      </c>
      <c r="Y35" s="18">
        <v>0</v>
      </c>
      <c r="Z35" s="18">
        <v>0</v>
      </c>
      <c r="AA35" s="18">
        <f t="shared" si="77"/>
        <v>0</v>
      </c>
      <c r="AB35" s="18">
        <v>0</v>
      </c>
      <c r="AC35" s="18">
        <f t="shared" si="78"/>
        <v>0</v>
      </c>
      <c r="AD35" s="18">
        <v>0</v>
      </c>
      <c r="AE35" s="18">
        <f t="shared" si="79"/>
        <v>0</v>
      </c>
      <c r="AF35" s="18">
        <v>0</v>
      </c>
      <c r="AG35" s="18">
        <f t="shared" si="80"/>
        <v>0</v>
      </c>
      <c r="AH35" s="18">
        <v>0</v>
      </c>
      <c r="AI35" s="18">
        <v>0</v>
      </c>
      <c r="AJ35" s="18">
        <v>0</v>
      </c>
      <c r="AK35" s="18">
        <f t="shared" si="81"/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L36" si="86">SUM(D35, D34, D33, D32, D31 + D30)</f>
        <v>6000</v>
      </c>
      <c r="E36" s="19">
        <f t="shared" si="86"/>
        <v>6281</v>
      </c>
      <c r="F36" s="19">
        <f t="shared" si="86"/>
        <v>6155.38</v>
      </c>
      <c r="G36" s="19">
        <f t="shared" si="86"/>
        <v>5672.2204000000002</v>
      </c>
      <c r="H36" s="19">
        <f t="shared" si="86"/>
        <v>5241.5024620000004</v>
      </c>
      <c r="I36" s="19">
        <f t="shared" si="86"/>
        <v>4803.2764127600003</v>
      </c>
      <c r="J36" s="19">
        <f t="shared" si="86"/>
        <v>5023.5005881928009</v>
      </c>
      <c r="K36" s="19">
        <f t="shared" si="86"/>
        <v>5254.1377830410847</v>
      </c>
      <c r="L36" s="19">
        <f t="shared" si="86"/>
        <v>5495.6907025949422</v>
      </c>
      <c r="M36" s="19">
        <f t="shared" si="86"/>
        <v>5385.7768885430432</v>
      </c>
      <c r="N36" s="19">
        <f t="shared" si="86"/>
        <v>5633.7129160577761</v>
      </c>
      <c r="O36" s="19">
        <f t="shared" si="86"/>
        <v>5893.4051604408724</v>
      </c>
      <c r="P36" s="19">
        <f t="shared" si="86"/>
        <v>6165.4222150005298</v>
      </c>
      <c r="Q36" s="19">
        <f t="shared" si="86"/>
        <v>6042.11377070052</v>
      </c>
      <c r="R36" s="19">
        <f t="shared" si="86"/>
        <v>5597.2640450084909</v>
      </c>
      <c r="S36" s="19">
        <f t="shared" si="86"/>
        <v>5201.894775789825</v>
      </c>
      <c r="T36" s="19">
        <f t="shared" si="86"/>
        <v>5437.7308228606698</v>
      </c>
      <c r="U36" s="19">
        <f t="shared" si="86"/>
        <v>5328.9762064034567</v>
      </c>
      <c r="V36" s="19">
        <f t="shared" si="86"/>
        <v>5570.9382933028282</v>
      </c>
      <c r="W36" s="19">
        <f t="shared" si="86"/>
        <v>5824.2638828445452</v>
      </c>
      <c r="X36" s="19">
        <f t="shared" si="86"/>
        <v>5707.7786051876537</v>
      </c>
      <c r="Y36" s="19">
        <f t="shared" si="86"/>
        <v>5315.6346858511579</v>
      </c>
      <c r="Z36" s="19">
        <f t="shared" si="86"/>
        <v>4968.3272627820788</v>
      </c>
      <c r="AA36" s="19">
        <f t="shared" si="86"/>
        <v>4587.264557711399</v>
      </c>
      <c r="AB36" s="19">
        <f t="shared" si="86"/>
        <v>4790.1591395671749</v>
      </c>
      <c r="AC36" s="19">
        <f t="shared" si="86"/>
        <v>4694.3559567758311</v>
      </c>
      <c r="AD36" s="19">
        <f t="shared" si="86"/>
        <v>4902.3563033121482</v>
      </c>
      <c r="AE36" s="19">
        <f t="shared" si="86"/>
        <v>4804.3091772459047</v>
      </c>
      <c r="AF36" s="19">
        <f t="shared" si="86"/>
        <v>5017.5560407634821</v>
      </c>
      <c r="AG36" s="19">
        <f t="shared" si="86"/>
        <v>4635.3384057890071</v>
      </c>
      <c r="AH36" s="19">
        <f t="shared" si="86"/>
        <v>4364.2334832938395</v>
      </c>
      <c r="AI36" s="19">
        <f t="shared" si="86"/>
        <v>4126.3216259340506</v>
      </c>
      <c r="AJ36" s="19">
        <f t="shared" si="86"/>
        <v>4303.7577811912106</v>
      </c>
      <c r="AK36" s="19">
        <f t="shared" si="86"/>
        <v>4217.6826255673859</v>
      </c>
      <c r="AL36" s="19">
        <f t="shared" si="86"/>
        <v>4399.4153595014413</v>
      </c>
      <c r="AM36" s="19">
        <f t="shared" ref="AM36" si="87">SUM(AM35, AM34, AM33, AM32, AM31 + AM30)</f>
        <v>4589.360188211871</v>
      </c>
    </row>
    <row r="37" spans="2:39" s="17" customFormat="1" ht="21" customHeight="1" x14ac:dyDescent="0.3">
      <c r="B37" s="7" t="s">
        <v>35</v>
      </c>
      <c r="C37" s="15"/>
      <c r="D37" s="18">
        <v>150</v>
      </c>
      <c r="E37" s="18">
        <v>157.5</v>
      </c>
      <c r="F37" s="18">
        <f t="shared" ref="F37:F41" si="88">E37*(0.98)</f>
        <v>154.35</v>
      </c>
      <c r="G37" s="18">
        <v>162.0675</v>
      </c>
      <c r="H37" s="18">
        <v>170.170875</v>
      </c>
      <c r="I37" s="18">
        <f t="shared" ref="I37:I41" si="89">H37*(0.98)</f>
        <v>166.76745750000001</v>
      </c>
      <c r="J37" s="18">
        <v>175.10583037500001</v>
      </c>
      <c r="K37" s="18">
        <v>183.86112189375001</v>
      </c>
      <c r="L37" s="18">
        <v>193.05417798843752</v>
      </c>
      <c r="M37" s="18">
        <f t="shared" ref="M37:M41" si="90">L37*(0.98)</f>
        <v>189.19309442866876</v>
      </c>
      <c r="N37" s="18">
        <v>198.65274915010221</v>
      </c>
      <c r="O37" s="18">
        <v>208.58538660760732</v>
      </c>
      <c r="P37" s="18">
        <v>219.0146559379877</v>
      </c>
      <c r="Q37" s="18">
        <f t="shared" ref="Q37:Q41" si="91">P37*(0.98)</f>
        <v>214.63436281922793</v>
      </c>
      <c r="R37" s="18">
        <v>225.36608096018935</v>
      </c>
      <c r="S37" s="18">
        <v>236.63438500819882</v>
      </c>
      <c r="T37" s="18">
        <v>248.46610425860877</v>
      </c>
      <c r="U37" s="18">
        <f t="shared" ref="U37:U41" si="92">T37*(0.98)</f>
        <v>243.4967821734366</v>
      </c>
      <c r="V37" s="18">
        <v>255.67162128210845</v>
      </c>
      <c r="W37" s="18">
        <v>268.45520234621387</v>
      </c>
      <c r="X37" s="18">
        <f t="shared" ref="X37:X41" si="93">W37*(0.98)</f>
        <v>263.08609829928957</v>
      </c>
      <c r="Y37" s="18">
        <v>276.24040321425406</v>
      </c>
      <c r="Z37" s="18">
        <v>290.05242337496679</v>
      </c>
      <c r="AA37" s="18">
        <f t="shared" ref="AA37:AA41" si="94">Z37*(0.98)</f>
        <v>284.25137490746744</v>
      </c>
      <c r="AB37" s="18">
        <v>298.46394365284084</v>
      </c>
      <c r="AC37" s="18">
        <f t="shared" ref="AC37:AC41" si="95">AB37*(0.98)</f>
        <v>292.49466477978405</v>
      </c>
      <c r="AD37" s="18">
        <v>307.11939801877327</v>
      </c>
      <c r="AE37" s="18">
        <f t="shared" ref="AE37:AE41" si="96">AD37*(0.98)</f>
        <v>300.97701005839781</v>
      </c>
      <c r="AF37" s="18">
        <v>316.0258605613177</v>
      </c>
      <c r="AG37" s="18">
        <f t="shared" ref="AG37:AG41" si="97">AF37*(0.98)</f>
        <v>309.70534335009137</v>
      </c>
      <c r="AH37" s="18">
        <v>325.19061051759593</v>
      </c>
      <c r="AI37" s="18">
        <v>341.45014104347575</v>
      </c>
      <c r="AJ37" s="18">
        <v>358.52264809564957</v>
      </c>
      <c r="AK37" s="18">
        <f t="shared" ref="AK37:AK41" si="98">AJ37*(0.98)</f>
        <v>351.35219513373659</v>
      </c>
      <c r="AL37" s="18">
        <v>368.91980489042345</v>
      </c>
      <c r="AM37" s="18">
        <v>387.36579513494462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f t="shared" si="88"/>
        <v>0</v>
      </c>
      <c r="G38" s="18">
        <v>0</v>
      </c>
      <c r="H38" s="18">
        <v>0</v>
      </c>
      <c r="I38" s="18">
        <f t="shared" si="89"/>
        <v>0</v>
      </c>
      <c r="J38" s="18">
        <v>0</v>
      </c>
      <c r="K38" s="18">
        <v>0</v>
      </c>
      <c r="L38" s="18">
        <v>0</v>
      </c>
      <c r="M38" s="18">
        <f t="shared" si="90"/>
        <v>0</v>
      </c>
      <c r="N38" s="18">
        <v>0</v>
      </c>
      <c r="O38" s="18">
        <v>0</v>
      </c>
      <c r="P38" s="18">
        <v>0</v>
      </c>
      <c r="Q38" s="18">
        <f t="shared" si="91"/>
        <v>0</v>
      </c>
      <c r="R38" s="18">
        <v>0</v>
      </c>
      <c r="S38" s="18">
        <v>0</v>
      </c>
      <c r="T38" s="18">
        <v>0</v>
      </c>
      <c r="U38" s="18">
        <f t="shared" si="92"/>
        <v>0</v>
      </c>
      <c r="V38" s="18">
        <v>0</v>
      </c>
      <c r="W38" s="18">
        <v>0</v>
      </c>
      <c r="X38" s="18">
        <f t="shared" si="93"/>
        <v>0</v>
      </c>
      <c r="Y38" s="18">
        <v>0</v>
      </c>
      <c r="Z38" s="18">
        <v>0</v>
      </c>
      <c r="AA38" s="18">
        <f t="shared" si="94"/>
        <v>0</v>
      </c>
      <c r="AB38" s="18">
        <v>0</v>
      </c>
      <c r="AC38" s="18">
        <f t="shared" si="95"/>
        <v>0</v>
      </c>
      <c r="AD38" s="18">
        <v>0</v>
      </c>
      <c r="AE38" s="18">
        <f t="shared" si="96"/>
        <v>0</v>
      </c>
      <c r="AF38" s="18">
        <v>0</v>
      </c>
      <c r="AG38" s="18">
        <f t="shared" si="97"/>
        <v>0</v>
      </c>
      <c r="AH38" s="18">
        <v>0</v>
      </c>
      <c r="AI38" s="18">
        <v>0</v>
      </c>
      <c r="AJ38" s="18">
        <v>0</v>
      </c>
      <c r="AK38" s="18">
        <f t="shared" si="98"/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1000</v>
      </c>
      <c r="E39" s="18">
        <v>1030</v>
      </c>
      <c r="F39" s="18">
        <f t="shared" si="88"/>
        <v>1009.4</v>
      </c>
      <c r="G39" s="18">
        <v>1039.682</v>
      </c>
      <c r="H39" s="18">
        <v>1070.87246</v>
      </c>
      <c r="I39" s="18">
        <f t="shared" si="89"/>
        <v>1049.4550108000001</v>
      </c>
      <c r="J39" s="18">
        <v>1080.9386611240002</v>
      </c>
      <c r="K39" s="18">
        <v>1113.3668209577202</v>
      </c>
      <c r="L39" s="18">
        <v>1146.7678255864519</v>
      </c>
      <c r="M39" s="18">
        <f t="shared" si="90"/>
        <v>1123.8324690747229</v>
      </c>
      <c r="N39" s="18">
        <v>1157.5474431469647</v>
      </c>
      <c r="O39" s="18">
        <v>1192.2738664413737</v>
      </c>
      <c r="P39" s="18">
        <v>1228.0420824346149</v>
      </c>
      <c r="Q39" s="18">
        <f t="shared" si="91"/>
        <v>1203.4812407859226</v>
      </c>
      <c r="R39" s="18">
        <v>1239.5856780095003</v>
      </c>
      <c r="S39" s="18">
        <v>1276.7732483497853</v>
      </c>
      <c r="T39" s="18">
        <v>1315.0764458002789</v>
      </c>
      <c r="U39" s="18">
        <f t="shared" si="92"/>
        <v>1288.7749168842734</v>
      </c>
      <c r="V39" s="18">
        <v>1327.4381643908016</v>
      </c>
      <c r="W39" s="18">
        <v>1367.2613093225257</v>
      </c>
      <c r="X39" s="18">
        <f t="shared" si="93"/>
        <v>1339.916083136075</v>
      </c>
      <c r="Y39" s="18">
        <v>1380.1135656301574</v>
      </c>
      <c r="Z39" s="18">
        <v>1421.5169725990622</v>
      </c>
      <c r="AA39" s="18">
        <f t="shared" si="94"/>
        <v>1393.0866331470809</v>
      </c>
      <c r="AB39" s="18">
        <v>1434.8792321414933</v>
      </c>
      <c r="AC39" s="18">
        <f t="shared" si="95"/>
        <v>1406.1816474986633</v>
      </c>
      <c r="AD39" s="18">
        <v>1448.3670969236232</v>
      </c>
      <c r="AE39" s="18">
        <f t="shared" si="96"/>
        <v>1419.3997549851506</v>
      </c>
      <c r="AF39" s="18">
        <v>1461.9817476347052</v>
      </c>
      <c r="AG39" s="18">
        <f t="shared" si="97"/>
        <v>1432.7421126820111</v>
      </c>
      <c r="AH39" s="18">
        <v>1475.7243760624715</v>
      </c>
      <c r="AI39" s="18">
        <v>1519.9961073443458</v>
      </c>
      <c r="AJ39" s="18">
        <v>1565.5959905646762</v>
      </c>
      <c r="AK39" s="18">
        <f t="shared" si="98"/>
        <v>1534.2840707533826</v>
      </c>
      <c r="AL39" s="18">
        <v>1580.3125928759841</v>
      </c>
      <c r="AM39" s="18">
        <v>1627.7219706622636</v>
      </c>
    </row>
    <row r="40" spans="2:39" s="17" customFormat="1" ht="21" customHeight="1" x14ac:dyDescent="0.3">
      <c r="B40" s="7" t="s">
        <v>38</v>
      </c>
      <c r="C40" s="15"/>
      <c r="D40" s="18">
        <v>400</v>
      </c>
      <c r="E40" s="18">
        <v>420</v>
      </c>
      <c r="F40" s="18">
        <f t="shared" si="88"/>
        <v>411.59999999999997</v>
      </c>
      <c r="G40" s="18">
        <v>432.18</v>
      </c>
      <c r="H40" s="18">
        <v>453.78900000000004</v>
      </c>
      <c r="I40" s="18">
        <f t="shared" si="89"/>
        <v>444.71322000000004</v>
      </c>
      <c r="J40" s="18">
        <v>466.94888100000003</v>
      </c>
      <c r="K40" s="18">
        <v>490.29632505000006</v>
      </c>
      <c r="L40" s="18">
        <v>514.81114130250012</v>
      </c>
      <c r="M40" s="18">
        <f t="shared" si="90"/>
        <v>504.51491847645013</v>
      </c>
      <c r="N40" s="18">
        <v>529.74066440027264</v>
      </c>
      <c r="O40" s="18">
        <v>556.22769762028634</v>
      </c>
      <c r="P40" s="18">
        <v>584.03908250130064</v>
      </c>
      <c r="Q40" s="18">
        <f t="shared" si="91"/>
        <v>572.35830085127463</v>
      </c>
      <c r="R40" s="18">
        <v>600.97621589383834</v>
      </c>
      <c r="S40" s="18">
        <v>631.02502668853026</v>
      </c>
      <c r="T40" s="18">
        <v>662.57627802295679</v>
      </c>
      <c r="U40" s="18">
        <f t="shared" si="92"/>
        <v>649.3247524624976</v>
      </c>
      <c r="V40" s="18">
        <v>681.79099008562252</v>
      </c>
      <c r="W40" s="18">
        <v>715.88053958990372</v>
      </c>
      <c r="X40" s="18">
        <f t="shared" si="93"/>
        <v>701.56292879810565</v>
      </c>
      <c r="Y40" s="18">
        <v>736.64107523801101</v>
      </c>
      <c r="Z40" s="18">
        <v>773.47312899991164</v>
      </c>
      <c r="AA40" s="18">
        <f t="shared" si="94"/>
        <v>758.00366641991343</v>
      </c>
      <c r="AB40" s="18">
        <v>795.9038497409091</v>
      </c>
      <c r="AC40" s="18">
        <f t="shared" si="95"/>
        <v>779.9857727460909</v>
      </c>
      <c r="AD40" s="18">
        <v>818.98506138339553</v>
      </c>
      <c r="AE40" s="18">
        <f t="shared" si="96"/>
        <v>802.60536015572757</v>
      </c>
      <c r="AF40" s="18">
        <v>842.73562816351398</v>
      </c>
      <c r="AG40" s="18">
        <f t="shared" si="97"/>
        <v>825.88091560024372</v>
      </c>
      <c r="AH40" s="18">
        <v>867.17496138025592</v>
      </c>
      <c r="AI40" s="18">
        <v>910.53370944926871</v>
      </c>
      <c r="AJ40" s="18">
        <v>956.06039492173215</v>
      </c>
      <c r="AK40" s="18">
        <f t="shared" si="98"/>
        <v>936.93918702329745</v>
      </c>
      <c r="AL40" s="18">
        <v>983.78614637446242</v>
      </c>
      <c r="AM40" s="18">
        <v>1032.9754536931855</v>
      </c>
    </row>
    <row r="41" spans="2:39" s="17" customFormat="1" ht="21" customHeight="1" x14ac:dyDescent="0.3">
      <c r="B41" s="7" t="s">
        <v>39</v>
      </c>
      <c r="C41" s="15"/>
      <c r="D41" s="18">
        <v>300</v>
      </c>
      <c r="E41" s="18">
        <v>309</v>
      </c>
      <c r="F41" s="18">
        <f t="shared" si="88"/>
        <v>302.82</v>
      </c>
      <c r="G41" s="18">
        <v>311.90460000000002</v>
      </c>
      <c r="H41" s="18">
        <v>321.26173800000004</v>
      </c>
      <c r="I41" s="18">
        <f t="shared" si="89"/>
        <v>314.83650324000001</v>
      </c>
      <c r="J41" s="18">
        <v>324.28159833720002</v>
      </c>
      <c r="K41" s="18">
        <v>334.01004628731602</v>
      </c>
      <c r="L41" s="18">
        <v>344.0303476759355</v>
      </c>
      <c r="M41" s="18">
        <f t="shared" si="90"/>
        <v>337.14974072241677</v>
      </c>
      <c r="N41" s="18">
        <v>347.26423294408926</v>
      </c>
      <c r="O41" s="18">
        <v>357.68215993241193</v>
      </c>
      <c r="P41" s="18">
        <v>368.41262473038432</v>
      </c>
      <c r="Q41" s="18">
        <f t="shared" si="91"/>
        <v>361.04437223577662</v>
      </c>
      <c r="R41" s="18">
        <v>371.87570340284992</v>
      </c>
      <c r="S41" s="18">
        <v>383.03197450493542</v>
      </c>
      <c r="T41" s="18">
        <v>394.52293374008349</v>
      </c>
      <c r="U41" s="18">
        <f t="shared" si="92"/>
        <v>386.63247506528182</v>
      </c>
      <c r="V41" s="18">
        <v>398.23144931724028</v>
      </c>
      <c r="W41" s="18">
        <v>410.17839279675752</v>
      </c>
      <c r="X41" s="18">
        <f t="shared" si="93"/>
        <v>401.97482494082237</v>
      </c>
      <c r="Y41" s="18">
        <v>414.03406968904704</v>
      </c>
      <c r="Z41" s="18">
        <v>426.45509177971849</v>
      </c>
      <c r="AA41" s="18">
        <f t="shared" si="94"/>
        <v>417.92598994412413</v>
      </c>
      <c r="AB41" s="18">
        <v>430.46376964244786</v>
      </c>
      <c r="AC41" s="18">
        <f t="shared" si="95"/>
        <v>421.85449424959887</v>
      </c>
      <c r="AD41" s="18">
        <v>434.51012907708684</v>
      </c>
      <c r="AE41" s="18">
        <f t="shared" si="96"/>
        <v>425.81992649554508</v>
      </c>
      <c r="AF41" s="18">
        <v>438.59452429041141</v>
      </c>
      <c r="AG41" s="18">
        <f t="shared" si="97"/>
        <v>429.82263380460319</v>
      </c>
      <c r="AH41" s="18">
        <v>442.71731281874128</v>
      </c>
      <c r="AI41" s="18">
        <v>455.99883220330355</v>
      </c>
      <c r="AJ41" s="18">
        <v>469.67879716940269</v>
      </c>
      <c r="AK41" s="18">
        <f t="shared" si="98"/>
        <v>460.28522122601464</v>
      </c>
      <c r="AL41" s="18">
        <v>474.09377786279509</v>
      </c>
      <c r="AM41" s="18">
        <v>488.31659119867896</v>
      </c>
    </row>
    <row r="42" spans="2:39" s="14" customFormat="1" ht="21" customHeight="1" x14ac:dyDescent="0.3">
      <c r="B42" s="26" t="s">
        <v>40</v>
      </c>
      <c r="C42" s="15"/>
      <c r="D42" s="27">
        <f t="shared" ref="D42" si="99">SUM(D41, D40, D39 + D38)</f>
        <v>1700</v>
      </c>
      <c r="E42" s="27">
        <v>1700</v>
      </c>
      <c r="F42" s="27">
        <v>1700</v>
      </c>
      <c r="G42" s="27">
        <v>1700</v>
      </c>
      <c r="H42" s="27">
        <v>1700</v>
      </c>
      <c r="I42" s="27">
        <v>1700</v>
      </c>
      <c r="J42" s="27">
        <v>1700</v>
      </c>
      <c r="K42" s="27">
        <v>1700</v>
      </c>
      <c r="L42" s="27">
        <v>1700</v>
      </c>
      <c r="M42" s="27">
        <v>1700</v>
      </c>
      <c r="N42" s="27">
        <v>1700</v>
      </c>
      <c r="O42" s="27">
        <v>1700</v>
      </c>
      <c r="P42" s="27">
        <v>1700</v>
      </c>
      <c r="Q42" s="27">
        <v>1700</v>
      </c>
      <c r="R42" s="27">
        <v>1700</v>
      </c>
      <c r="S42" s="27">
        <v>1700</v>
      </c>
      <c r="T42" s="27">
        <v>1700</v>
      </c>
      <c r="U42" s="27">
        <v>1700</v>
      </c>
      <c r="V42" s="27">
        <v>1700</v>
      </c>
      <c r="W42" s="27">
        <v>1700</v>
      </c>
      <c r="X42" s="27">
        <v>1700</v>
      </c>
      <c r="Y42" s="27">
        <v>1700</v>
      </c>
      <c r="Z42" s="27">
        <v>1700</v>
      </c>
      <c r="AA42" s="27">
        <v>1700</v>
      </c>
      <c r="AB42" s="27">
        <v>1700</v>
      </c>
      <c r="AC42" s="27">
        <v>1700</v>
      </c>
      <c r="AD42" s="27">
        <v>1700</v>
      </c>
      <c r="AE42" s="27">
        <v>1700</v>
      </c>
      <c r="AF42" s="27">
        <v>1700</v>
      </c>
      <c r="AG42" s="27">
        <v>1700</v>
      </c>
      <c r="AH42" s="27">
        <v>1700</v>
      </c>
      <c r="AI42" s="27">
        <v>1700</v>
      </c>
      <c r="AJ42" s="27">
        <v>1700</v>
      </c>
      <c r="AK42" s="27">
        <v>1700</v>
      </c>
      <c r="AL42" s="27">
        <v>1700</v>
      </c>
      <c r="AM42" s="27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L43" si="100">SUM(D41, D40, D39, D38, D37, D35, D34, D33, D32, D31, D30, D28, D27, D26, D25, D24, D22, D21, D20, D19, D18, D17, D16, D15, D14 + D13)</f>
        <v>25100</v>
      </c>
      <c r="E43" s="19">
        <f t="shared" si="100"/>
        <v>26061</v>
      </c>
      <c r="F43" s="19">
        <f t="shared" si="100"/>
        <v>25456.58</v>
      </c>
      <c r="G43" s="19">
        <f t="shared" si="100"/>
        <v>25661.923399999996</v>
      </c>
      <c r="H43" s="19">
        <f t="shared" si="100"/>
        <v>25946.043182000001</v>
      </c>
      <c r="I43" s="19">
        <f t="shared" si="100"/>
        <v>25093.726318359997</v>
      </c>
      <c r="J43" s="19">
        <f t="shared" si="100"/>
        <v>26041.354236158801</v>
      </c>
      <c r="K43" s="19">
        <f t="shared" si="100"/>
        <v>27027.358340148126</v>
      </c>
      <c r="L43" s="19">
        <f t="shared" si="100"/>
        <v>28053.389429931303</v>
      </c>
      <c r="M43" s="19">
        <f t="shared" si="100"/>
        <v>27492.321641332677</v>
      </c>
      <c r="N43" s="19">
        <f t="shared" si="100"/>
        <v>28538.749312994703</v>
      </c>
      <c r="O43" s="19">
        <f t="shared" si="100"/>
        <v>29627.861327330924</v>
      </c>
      <c r="P43" s="19">
        <f t="shared" si="100"/>
        <v>30761.504775093552</v>
      </c>
      <c r="Q43" s="19">
        <f t="shared" si="100"/>
        <v>30146.274679591683</v>
      </c>
      <c r="R43" s="19">
        <f t="shared" si="100"/>
        <v>30578.688960530821</v>
      </c>
      <c r="S43" s="19">
        <f t="shared" si="100"/>
        <v>31094.818706838309</v>
      </c>
      <c r="T43" s="19">
        <f t="shared" si="100"/>
        <v>32277.813474329076</v>
      </c>
      <c r="U43" s="19">
        <f t="shared" si="100"/>
        <v>31632.257204842503</v>
      </c>
      <c r="V43" s="19">
        <f t="shared" si="100"/>
        <v>32838.838861917873</v>
      </c>
      <c r="W43" s="19">
        <f t="shared" si="100"/>
        <v>34094.709676089311</v>
      </c>
      <c r="X43" s="19">
        <f t="shared" si="100"/>
        <v>33412.815482567516</v>
      </c>
      <c r="Y43" s="19">
        <f t="shared" si="100"/>
        <v>34041.889936105064</v>
      </c>
      <c r="Z43" s="19">
        <f t="shared" si="100"/>
        <v>34756.150578634661</v>
      </c>
      <c r="AA43" s="19">
        <f t="shared" si="100"/>
        <v>33779.331407246929</v>
      </c>
      <c r="AB43" s="19">
        <f t="shared" si="100"/>
        <v>35063.768967627715</v>
      </c>
      <c r="AC43" s="19">
        <f t="shared" si="100"/>
        <v>33960.727403275538</v>
      </c>
      <c r="AD43" s="19">
        <f t="shared" si="100"/>
        <v>34671.088505040861</v>
      </c>
      <c r="AE43" s="19">
        <f t="shared" si="100"/>
        <v>33652.236125090356</v>
      </c>
      <c r="AF43" s="19">
        <f t="shared" si="100"/>
        <v>34473.278900889258</v>
      </c>
      <c r="AG43" s="19">
        <f t="shared" si="100"/>
        <v>33501.946808712259</v>
      </c>
      <c r="AH43" s="19">
        <f t="shared" si="100"/>
        <v>34321.669302360104</v>
      </c>
      <c r="AI43" s="19">
        <f t="shared" si="100"/>
        <v>35218.750145797829</v>
      </c>
      <c r="AJ43" s="19">
        <f t="shared" si="100"/>
        <v>36577.242086389095</v>
      </c>
      <c r="AK43" s="19">
        <f t="shared" si="100"/>
        <v>35563.416555700787</v>
      </c>
      <c r="AL43" s="19">
        <f t="shared" si="100"/>
        <v>36528.365454354331</v>
      </c>
      <c r="AM43" s="19">
        <f t="shared" ref="AM43" si="101">SUM(AM41, AM40, AM39, AM38, AM37, AM35, AM34, AM33, AM32, AM31, AM30, AM28, AM27, AM26, AM25, AM24, AM22, AM21, AM20, AM19, AM18, AM17, AM16, AM15, AM14 + AM13)</f>
        <v>37579.287564866398</v>
      </c>
    </row>
    <row r="44" spans="2:39" s="21" customFormat="1" ht="21" customHeight="1" x14ac:dyDescent="0.3">
      <c r="B44" s="5" t="s">
        <v>42</v>
      </c>
      <c r="C44" s="22"/>
      <c r="D44" s="23">
        <f t="shared" ref="D44:AL44" si="102">D12-D43</f>
        <v>49650</v>
      </c>
      <c r="E44" s="23">
        <f t="shared" si="102"/>
        <v>45764</v>
      </c>
      <c r="F44" s="23">
        <f t="shared" si="102"/>
        <v>60163.520000000004</v>
      </c>
      <c r="G44" s="23">
        <f t="shared" si="102"/>
        <v>49127.655599999998</v>
      </c>
      <c r="H44" s="23">
        <f t="shared" si="102"/>
        <v>53543.996617999997</v>
      </c>
      <c r="I44" s="23">
        <f t="shared" si="102"/>
        <v>63952.420765739997</v>
      </c>
      <c r="J44" s="23">
        <f t="shared" si="102"/>
        <v>57176.063420832201</v>
      </c>
      <c r="K44" s="23">
        <f t="shared" si="102"/>
        <v>62880.954573975323</v>
      </c>
      <c r="L44" s="23">
        <f t="shared" si="102"/>
        <v>59227.879586297837</v>
      </c>
      <c r="M44" s="23">
        <f t="shared" si="102"/>
        <v>60190.31405794833</v>
      </c>
      <c r="N44" s="23">
        <f t="shared" si="102"/>
        <v>62855.574043051143</v>
      </c>
      <c r="O44" s="23">
        <f t="shared" si="102"/>
        <v>65473.126639685557</v>
      </c>
      <c r="P44" s="23">
        <f t="shared" si="102"/>
        <v>67142.583288576512</v>
      </c>
      <c r="Q44" s="23">
        <f t="shared" si="102"/>
        <v>63709.375619446837</v>
      </c>
      <c r="R44" s="23">
        <f t="shared" si="102"/>
        <v>64830.905530169141</v>
      </c>
      <c r="S44" s="23">
        <f t="shared" si="102"/>
        <v>55569.94017132213</v>
      </c>
      <c r="T44" s="23">
        <f t="shared" si="102"/>
        <v>59487.355118694919</v>
      </c>
      <c r="U44" s="23">
        <f t="shared" si="102"/>
        <v>60499.398293535007</v>
      </c>
      <c r="V44" s="23">
        <f t="shared" si="102"/>
        <v>69094.026498217267</v>
      </c>
      <c r="W44" s="23">
        <f t="shared" si="102"/>
        <v>54231.559374568482</v>
      </c>
      <c r="X44" s="23">
        <f t="shared" si="102"/>
        <v>62121.774097518442</v>
      </c>
      <c r="Y44" s="23">
        <f t="shared" si="102"/>
        <v>67693.866720354417</v>
      </c>
      <c r="Z44" s="23">
        <f t="shared" si="102"/>
        <v>60418.317184223</v>
      </c>
      <c r="AA44" s="23">
        <f t="shared" si="102"/>
        <v>67771.055428012944</v>
      </c>
      <c r="AB44" s="23">
        <f t="shared" si="102"/>
        <v>65517.921870459839</v>
      </c>
      <c r="AC44" s="23">
        <f t="shared" si="102"/>
        <v>59706.462437921058</v>
      </c>
      <c r="AD44" s="23">
        <f t="shared" si="102"/>
        <v>64129.601887935634</v>
      </c>
      <c r="AE44" s="23">
        <f t="shared" si="102"/>
        <v>53667.239517480812</v>
      </c>
      <c r="AF44" s="23">
        <f t="shared" si="102"/>
        <v>49800.537661181021</v>
      </c>
      <c r="AG44" s="23">
        <f t="shared" si="102"/>
        <v>63392.338223596591</v>
      </c>
      <c r="AH44" s="23">
        <f t="shared" si="102"/>
        <v>55878.75015180451</v>
      </c>
      <c r="AI44" s="23">
        <f t="shared" si="102"/>
        <v>63335.776253632641</v>
      </c>
      <c r="AJ44" s="23">
        <f t="shared" si="102"/>
        <v>65928.690428649163</v>
      </c>
      <c r="AK44" s="23">
        <f t="shared" si="102"/>
        <v>61424.65410082513</v>
      </c>
      <c r="AL44" s="23">
        <f t="shared" si="102"/>
        <v>75668.289924240467</v>
      </c>
      <c r="AM44" s="23">
        <f t="shared" ref="AM44" si="103">AM12-AM43</f>
        <v>77267.958504403738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104">SUM(D46 + D45)</f>
        <v>0</v>
      </c>
      <c r="E47" s="19">
        <f t="shared" si="104"/>
        <v>0</v>
      </c>
      <c r="F47" s="19">
        <f t="shared" si="104"/>
        <v>0</v>
      </c>
      <c r="G47" s="19">
        <f t="shared" si="104"/>
        <v>0</v>
      </c>
      <c r="H47" s="19">
        <f t="shared" si="104"/>
        <v>0</v>
      </c>
      <c r="I47" s="19">
        <f t="shared" si="104"/>
        <v>0</v>
      </c>
      <c r="J47" s="19">
        <f t="shared" si="104"/>
        <v>0</v>
      </c>
      <c r="K47" s="19">
        <f t="shared" si="104"/>
        <v>0</v>
      </c>
      <c r="L47" s="19">
        <f t="shared" si="104"/>
        <v>0</v>
      </c>
      <c r="M47" s="19">
        <f t="shared" si="104"/>
        <v>0</v>
      </c>
      <c r="N47" s="19">
        <f t="shared" si="104"/>
        <v>0</v>
      </c>
      <c r="O47" s="19">
        <f t="shared" si="104"/>
        <v>0</v>
      </c>
      <c r="P47" s="19">
        <f t="shared" si="104"/>
        <v>0</v>
      </c>
      <c r="Q47" s="19">
        <f t="shared" si="104"/>
        <v>0</v>
      </c>
      <c r="R47" s="19">
        <f t="shared" si="104"/>
        <v>0</v>
      </c>
      <c r="S47" s="19">
        <f t="shared" si="104"/>
        <v>0</v>
      </c>
      <c r="T47" s="19">
        <f t="shared" si="104"/>
        <v>0</v>
      </c>
      <c r="U47" s="19">
        <f t="shared" si="104"/>
        <v>0</v>
      </c>
      <c r="V47" s="19">
        <f t="shared" si="104"/>
        <v>0</v>
      </c>
      <c r="W47" s="19">
        <f t="shared" si="104"/>
        <v>0</v>
      </c>
      <c r="X47" s="19">
        <f t="shared" si="104"/>
        <v>0</v>
      </c>
      <c r="Y47" s="19">
        <f t="shared" si="104"/>
        <v>0</v>
      </c>
      <c r="Z47" s="19">
        <f t="shared" si="104"/>
        <v>0</v>
      </c>
      <c r="AA47" s="19">
        <f t="shared" si="104"/>
        <v>0</v>
      </c>
      <c r="AB47" s="19">
        <f t="shared" si="104"/>
        <v>0</v>
      </c>
      <c r="AC47" s="19">
        <f t="shared" si="104"/>
        <v>0</v>
      </c>
      <c r="AD47" s="19">
        <f t="shared" si="104"/>
        <v>0</v>
      </c>
      <c r="AE47" s="19">
        <f t="shared" si="104"/>
        <v>0</v>
      </c>
      <c r="AF47" s="19">
        <f t="shared" si="104"/>
        <v>0</v>
      </c>
      <c r="AG47" s="19">
        <f t="shared" si="104"/>
        <v>0</v>
      </c>
      <c r="AH47" s="19">
        <f t="shared" si="104"/>
        <v>0</v>
      </c>
      <c r="AI47" s="19">
        <f t="shared" si="104"/>
        <v>0</v>
      </c>
      <c r="AJ47" s="19">
        <f t="shared" si="104"/>
        <v>0</v>
      </c>
      <c r="AK47" s="19">
        <f t="shared" si="104"/>
        <v>0</v>
      </c>
      <c r="AL47" s="19">
        <f t="shared" si="104"/>
        <v>0</v>
      </c>
      <c r="AM47" s="19">
        <f t="shared" ref="AM47" si="105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69.444444444444443</v>
      </c>
      <c r="E49" s="18">
        <v>76.3888888888889</v>
      </c>
      <c r="F49" s="18">
        <v>84.0277777777778</v>
      </c>
      <c r="G49" s="18">
        <v>92.430555555555586</v>
      </c>
      <c r="H49" s="18">
        <v>101.67361111111116</v>
      </c>
      <c r="I49" s="18">
        <v>111.84097222222228</v>
      </c>
      <c r="J49" s="18">
        <v>123.02506944444451</v>
      </c>
      <c r="K49" s="18">
        <v>135.32757638888899</v>
      </c>
      <c r="L49" s="18">
        <v>148.8603340277779</v>
      </c>
      <c r="M49" s="18">
        <v>163.74636743055569</v>
      </c>
      <c r="N49" s="18">
        <v>180.12100417361128</v>
      </c>
      <c r="O49" s="18">
        <v>198.13310459097244</v>
      </c>
      <c r="P49" s="18">
        <v>217.9464150500697</v>
      </c>
      <c r="Q49" s="18">
        <v>239.74105655507668</v>
      </c>
      <c r="R49" s="18">
        <v>263.71516221058437</v>
      </c>
      <c r="S49" s="18">
        <v>290.08667843164284</v>
      </c>
      <c r="T49" s="18">
        <v>319.09534627480713</v>
      </c>
      <c r="U49" s="18">
        <v>351.00488090228788</v>
      </c>
      <c r="V49" s="18">
        <v>386.10536899251667</v>
      </c>
      <c r="W49" s="18">
        <v>424.71590589176839</v>
      </c>
      <c r="X49" s="18">
        <v>467.18749648094524</v>
      </c>
      <c r="Y49" s="18">
        <v>513.9062461290398</v>
      </c>
      <c r="Z49" s="18">
        <v>565.29687074194385</v>
      </c>
      <c r="AA49" s="18">
        <v>621.82655781613823</v>
      </c>
      <c r="AB49" s="18">
        <v>684.00921359775214</v>
      </c>
      <c r="AC49" s="18">
        <v>752.41013495752736</v>
      </c>
      <c r="AD49" s="18">
        <v>827.65114845328014</v>
      </c>
      <c r="AE49" s="18">
        <v>910.41626329860821</v>
      </c>
      <c r="AF49" s="18">
        <v>1001.4578896284692</v>
      </c>
      <c r="AG49" s="18">
        <v>1101.6036785913161</v>
      </c>
      <c r="AH49" s="18">
        <v>1211.7640464504477</v>
      </c>
      <c r="AI49" s="18">
        <v>1332.9404510954926</v>
      </c>
      <c r="AJ49" s="18">
        <v>1466.234496205042</v>
      </c>
      <c r="AK49" s="18">
        <v>1612.8579458255463</v>
      </c>
      <c r="AL49" s="18">
        <v>1774.1437404081009</v>
      </c>
      <c r="AM49" s="18">
        <v>1951.5581144489113</v>
      </c>
    </row>
    <row r="50" spans="2:39" s="17" customFormat="1" ht="21" customHeight="1" x14ac:dyDescent="0.3">
      <c r="B50" s="4" t="s">
        <v>48</v>
      </c>
      <c r="C50" s="15"/>
      <c r="D50" s="18">
        <v>2500</v>
      </c>
      <c r="E50" s="18">
        <v>2750</v>
      </c>
      <c r="F50" s="18">
        <v>3025.0000000000005</v>
      </c>
      <c r="G50" s="18">
        <v>3327.5000000000009</v>
      </c>
      <c r="H50" s="18">
        <v>3660.2500000000014</v>
      </c>
      <c r="I50" s="18">
        <v>4026.2750000000019</v>
      </c>
      <c r="J50" s="18">
        <v>4428.9025000000029</v>
      </c>
      <c r="K50" s="18">
        <v>4871.7927500000033</v>
      </c>
      <c r="L50" s="18">
        <v>5358.9720250000037</v>
      </c>
      <c r="M50" s="18">
        <v>5894.8692275000049</v>
      </c>
      <c r="N50" s="18">
        <v>6484.3561502500061</v>
      </c>
      <c r="O50" s="18">
        <v>7132.7917652750075</v>
      </c>
      <c r="P50" s="18">
        <v>7846.070941802509</v>
      </c>
      <c r="Q50" s="18">
        <v>8630.6780359827608</v>
      </c>
      <c r="R50" s="18">
        <v>9493.7458395810372</v>
      </c>
      <c r="S50" s="18">
        <v>10443.120423539141</v>
      </c>
      <c r="T50" s="18">
        <v>11487.432465893056</v>
      </c>
      <c r="U50" s="18">
        <v>12636.175712482363</v>
      </c>
      <c r="V50" s="18">
        <v>13899.793283730602</v>
      </c>
      <c r="W50" s="18">
        <v>15289.772612103663</v>
      </c>
      <c r="X50" s="18">
        <v>16818.749873314031</v>
      </c>
      <c r="Y50" s="18">
        <v>18500.624860645436</v>
      </c>
      <c r="Z50" s="18">
        <v>20350.687346709979</v>
      </c>
      <c r="AA50" s="18">
        <v>22385.75608138098</v>
      </c>
      <c r="AB50" s="18">
        <v>24624.33168951908</v>
      </c>
      <c r="AC50" s="18">
        <v>27086.76485847099</v>
      </c>
      <c r="AD50" s="18">
        <v>29795.441344318089</v>
      </c>
      <c r="AE50" s="18">
        <v>32774.985478749899</v>
      </c>
      <c r="AF50" s="18">
        <v>36052.484026624894</v>
      </c>
      <c r="AG50" s="18">
        <v>39657.732429287389</v>
      </c>
      <c r="AH50" s="18">
        <v>43623.505672216132</v>
      </c>
      <c r="AI50" s="18">
        <v>47985.856239437751</v>
      </c>
      <c r="AJ50" s="18">
        <v>52784.441863381529</v>
      </c>
      <c r="AK50" s="18">
        <v>58062.886049719687</v>
      </c>
      <c r="AL50" s="18">
        <v>63869.174654691662</v>
      </c>
      <c r="AM50" s="18">
        <v>70256.092120160829</v>
      </c>
    </row>
    <row r="51" spans="2:39" s="17" customFormat="1" ht="21" customHeight="1" x14ac:dyDescent="0.3">
      <c r="B51" s="5" t="s">
        <v>49</v>
      </c>
      <c r="C51" s="15"/>
      <c r="D51" s="19">
        <f t="shared" ref="D51:AL51" si="106">SUM(D50, D49 + D48)</f>
        <v>2569.4444444444443</v>
      </c>
      <c r="E51" s="19">
        <f t="shared" si="106"/>
        <v>2826.3888888888887</v>
      </c>
      <c r="F51" s="19">
        <f t="shared" si="106"/>
        <v>3109.0277777777783</v>
      </c>
      <c r="G51" s="19">
        <f t="shared" si="106"/>
        <v>3419.9305555555566</v>
      </c>
      <c r="H51" s="19">
        <f t="shared" si="106"/>
        <v>3761.9236111111127</v>
      </c>
      <c r="I51" s="19">
        <f t="shared" si="106"/>
        <v>4138.1159722222246</v>
      </c>
      <c r="J51" s="19">
        <f t="shared" si="106"/>
        <v>4551.9275694444477</v>
      </c>
      <c r="K51" s="19">
        <f t="shared" si="106"/>
        <v>5007.120326388892</v>
      </c>
      <c r="L51" s="19">
        <f t="shared" si="106"/>
        <v>5507.8323590277814</v>
      </c>
      <c r="M51" s="19">
        <f t="shared" si="106"/>
        <v>6058.6155949305603</v>
      </c>
      <c r="N51" s="19">
        <f t="shared" si="106"/>
        <v>6664.4771544236173</v>
      </c>
      <c r="O51" s="19">
        <f t="shared" si="106"/>
        <v>7330.9248698659803</v>
      </c>
      <c r="P51" s="19">
        <f t="shared" si="106"/>
        <v>8064.0173568525788</v>
      </c>
      <c r="Q51" s="19">
        <f t="shared" si="106"/>
        <v>8870.4190925378371</v>
      </c>
      <c r="R51" s="19">
        <f t="shared" si="106"/>
        <v>9757.461001791622</v>
      </c>
      <c r="S51" s="19">
        <f t="shared" si="106"/>
        <v>10733.207101970784</v>
      </c>
      <c r="T51" s="19">
        <f t="shared" si="106"/>
        <v>11806.527812167864</v>
      </c>
      <c r="U51" s="19">
        <f t="shared" si="106"/>
        <v>12987.180593384652</v>
      </c>
      <c r="V51" s="19">
        <f t="shared" si="106"/>
        <v>14285.898652723119</v>
      </c>
      <c r="W51" s="19">
        <f t="shared" si="106"/>
        <v>15714.488517995431</v>
      </c>
      <c r="X51" s="19">
        <f t="shared" si="106"/>
        <v>17285.937369794978</v>
      </c>
      <c r="Y51" s="19">
        <f t="shared" si="106"/>
        <v>19014.531106774477</v>
      </c>
      <c r="Z51" s="19">
        <f t="shared" si="106"/>
        <v>20915.984217451922</v>
      </c>
      <c r="AA51" s="19">
        <f t="shared" si="106"/>
        <v>23007.582639197117</v>
      </c>
      <c r="AB51" s="19">
        <f t="shared" si="106"/>
        <v>25308.340903116834</v>
      </c>
      <c r="AC51" s="19">
        <f t="shared" si="106"/>
        <v>27839.174993428518</v>
      </c>
      <c r="AD51" s="19">
        <f t="shared" si="106"/>
        <v>30623.092492771368</v>
      </c>
      <c r="AE51" s="19">
        <f t="shared" si="106"/>
        <v>33685.401742048511</v>
      </c>
      <c r="AF51" s="19">
        <f t="shared" si="106"/>
        <v>37053.94191625336</v>
      </c>
      <c r="AG51" s="19">
        <f t="shared" si="106"/>
        <v>40759.336107878706</v>
      </c>
      <c r="AH51" s="19">
        <f t="shared" si="106"/>
        <v>44835.269718666583</v>
      </c>
      <c r="AI51" s="19">
        <f t="shared" si="106"/>
        <v>49318.796690533243</v>
      </c>
      <c r="AJ51" s="19">
        <f t="shared" si="106"/>
        <v>54250.67635958657</v>
      </c>
      <c r="AK51" s="19">
        <f t="shared" si="106"/>
        <v>59675.743995545236</v>
      </c>
      <c r="AL51" s="19">
        <f t="shared" si="106"/>
        <v>65643.318395099763</v>
      </c>
      <c r="AM51" s="19">
        <f t="shared" ref="AM51" si="107">SUM(AM50, AM49 + AM48)</f>
        <v>72207.65023460974</v>
      </c>
    </row>
    <row r="52" spans="2:39" s="21" customFormat="1" ht="21" customHeight="1" x14ac:dyDescent="0.3">
      <c r="B52" s="5" t="s">
        <v>50</v>
      </c>
      <c r="C52" s="22"/>
      <c r="D52" s="23">
        <f t="shared" ref="D52:AL52" si="108">D47-D51</f>
        <v>-2569.4444444444443</v>
      </c>
      <c r="E52" s="23">
        <f t="shared" si="108"/>
        <v>-2826.3888888888887</v>
      </c>
      <c r="F52" s="23">
        <f t="shared" si="108"/>
        <v>-3109.0277777777783</v>
      </c>
      <c r="G52" s="23">
        <f t="shared" si="108"/>
        <v>-3419.9305555555566</v>
      </c>
      <c r="H52" s="23">
        <f t="shared" si="108"/>
        <v>-3761.9236111111127</v>
      </c>
      <c r="I52" s="23">
        <f t="shared" si="108"/>
        <v>-4138.1159722222246</v>
      </c>
      <c r="J52" s="23">
        <f t="shared" si="108"/>
        <v>-4551.9275694444477</v>
      </c>
      <c r="K52" s="23">
        <f t="shared" si="108"/>
        <v>-5007.120326388892</v>
      </c>
      <c r="L52" s="23">
        <f t="shared" si="108"/>
        <v>-5507.8323590277814</v>
      </c>
      <c r="M52" s="23">
        <f t="shared" si="108"/>
        <v>-6058.6155949305603</v>
      </c>
      <c r="N52" s="23">
        <f t="shared" si="108"/>
        <v>-6664.4771544236173</v>
      </c>
      <c r="O52" s="23">
        <f t="shared" si="108"/>
        <v>-7330.9248698659803</v>
      </c>
      <c r="P52" s="23">
        <f t="shared" si="108"/>
        <v>-8064.0173568525788</v>
      </c>
      <c r="Q52" s="23">
        <f t="shared" si="108"/>
        <v>-8870.4190925378371</v>
      </c>
      <c r="R52" s="23">
        <f t="shared" si="108"/>
        <v>-9757.461001791622</v>
      </c>
      <c r="S52" s="23">
        <f t="shared" si="108"/>
        <v>-10733.207101970784</v>
      </c>
      <c r="T52" s="23">
        <f t="shared" si="108"/>
        <v>-11806.527812167864</v>
      </c>
      <c r="U52" s="23">
        <f t="shared" si="108"/>
        <v>-12987.180593384652</v>
      </c>
      <c r="V52" s="23">
        <f t="shared" si="108"/>
        <v>-14285.898652723119</v>
      </c>
      <c r="W52" s="23">
        <f t="shared" si="108"/>
        <v>-15714.488517995431</v>
      </c>
      <c r="X52" s="23">
        <f t="shared" si="108"/>
        <v>-17285.937369794978</v>
      </c>
      <c r="Y52" s="23">
        <f t="shared" si="108"/>
        <v>-19014.531106774477</v>
      </c>
      <c r="Z52" s="23">
        <f t="shared" si="108"/>
        <v>-20915.984217451922</v>
      </c>
      <c r="AA52" s="23">
        <f t="shared" si="108"/>
        <v>-23007.582639197117</v>
      </c>
      <c r="AB52" s="23">
        <f t="shared" si="108"/>
        <v>-25308.340903116834</v>
      </c>
      <c r="AC52" s="23">
        <f t="shared" si="108"/>
        <v>-27839.174993428518</v>
      </c>
      <c r="AD52" s="23">
        <f t="shared" si="108"/>
        <v>-30623.092492771368</v>
      </c>
      <c r="AE52" s="23">
        <f t="shared" si="108"/>
        <v>-33685.401742048511</v>
      </c>
      <c r="AF52" s="23">
        <f t="shared" si="108"/>
        <v>-37053.94191625336</v>
      </c>
      <c r="AG52" s="23">
        <f t="shared" si="108"/>
        <v>-40759.336107878706</v>
      </c>
      <c r="AH52" s="23">
        <f t="shared" si="108"/>
        <v>-44835.269718666583</v>
      </c>
      <c r="AI52" s="23">
        <f t="shared" si="108"/>
        <v>-49318.796690533243</v>
      </c>
      <c r="AJ52" s="23">
        <f t="shared" si="108"/>
        <v>-54250.67635958657</v>
      </c>
      <c r="AK52" s="23">
        <f t="shared" si="108"/>
        <v>-59675.743995545236</v>
      </c>
      <c r="AL52" s="23">
        <f t="shared" si="108"/>
        <v>-65643.318395099763</v>
      </c>
      <c r="AM52" s="23">
        <f t="shared" ref="AM52" si="109">AM47-AM51</f>
        <v>-72207.65023460974</v>
      </c>
    </row>
    <row r="53" spans="2:39" s="21" customFormat="1" ht="21" customHeight="1" x14ac:dyDescent="0.3">
      <c r="B53" s="5" t="s">
        <v>51</v>
      </c>
      <c r="C53" s="22"/>
      <c r="D53" s="23">
        <f t="shared" ref="D53:AM53" si="110">D44+D52</f>
        <v>47080.555555555555</v>
      </c>
      <c r="E53" s="23">
        <f t="shared" ref="E53:AL53" si="111">E44+E52</f>
        <v>42937.611111111109</v>
      </c>
      <c r="F53" s="23">
        <f t="shared" si="111"/>
        <v>57054.492222222223</v>
      </c>
      <c r="G53" s="23">
        <f t="shared" si="111"/>
        <v>45707.725044444443</v>
      </c>
      <c r="H53" s="23">
        <f t="shared" si="111"/>
        <v>49782.073006888888</v>
      </c>
      <c r="I53" s="23">
        <f t="shared" si="111"/>
        <v>59814.304793517775</v>
      </c>
      <c r="J53" s="23">
        <f t="shared" si="111"/>
        <v>52624.135851387749</v>
      </c>
      <c r="K53" s="23">
        <f t="shared" si="111"/>
        <v>57873.834247586434</v>
      </c>
      <c r="L53" s="23">
        <f t="shared" si="111"/>
        <v>53720.047227270057</v>
      </c>
      <c r="M53" s="23">
        <f t="shared" si="111"/>
        <v>54131.698463017769</v>
      </c>
      <c r="N53" s="23">
        <f t="shared" si="111"/>
        <v>56191.096888627522</v>
      </c>
      <c r="O53" s="23">
        <f t="shared" si="111"/>
        <v>58142.201769819578</v>
      </c>
      <c r="P53" s="23">
        <f t="shared" si="111"/>
        <v>59078.565931723933</v>
      </c>
      <c r="Q53" s="23">
        <f t="shared" si="111"/>
        <v>54838.956526909002</v>
      </c>
      <c r="R53" s="23">
        <f t="shared" si="111"/>
        <v>55073.44452837752</v>
      </c>
      <c r="S53" s="23">
        <f t="shared" si="111"/>
        <v>44836.73306935135</v>
      </c>
      <c r="T53" s="23">
        <f t="shared" si="111"/>
        <v>47680.827306527055</v>
      </c>
      <c r="U53" s="23">
        <f t="shared" si="111"/>
        <v>47512.217700150359</v>
      </c>
      <c r="V53" s="23">
        <f t="shared" si="111"/>
        <v>54808.127845494149</v>
      </c>
      <c r="W53" s="23">
        <f t="shared" si="111"/>
        <v>38517.070856573053</v>
      </c>
      <c r="X53" s="23">
        <f t="shared" si="111"/>
        <v>44835.836727723465</v>
      </c>
      <c r="Y53" s="23">
        <f t="shared" si="111"/>
        <v>48679.33561357994</v>
      </c>
      <c r="Z53" s="23">
        <f t="shared" si="111"/>
        <v>39502.332966771079</v>
      </c>
      <c r="AA53" s="23">
        <f t="shared" si="111"/>
        <v>44763.472788815823</v>
      </c>
      <c r="AB53" s="23">
        <f t="shared" si="111"/>
        <v>40209.580967343005</v>
      </c>
      <c r="AC53" s="23">
        <f t="shared" si="111"/>
        <v>31867.28744449254</v>
      </c>
      <c r="AD53" s="23">
        <f t="shared" si="111"/>
        <v>33506.509395164263</v>
      </c>
      <c r="AE53" s="23">
        <f t="shared" si="111"/>
        <v>19981.837775432301</v>
      </c>
      <c r="AF53" s="23">
        <f t="shared" si="111"/>
        <v>12746.595744927661</v>
      </c>
      <c r="AG53" s="23">
        <f t="shared" si="111"/>
        <v>22633.002115717885</v>
      </c>
      <c r="AH53" s="23">
        <f t="shared" si="111"/>
        <v>11043.480433137927</v>
      </c>
      <c r="AI53" s="23">
        <f t="shared" si="111"/>
        <v>14016.979563099398</v>
      </c>
      <c r="AJ53" s="23">
        <f t="shared" si="111"/>
        <v>11678.014069062592</v>
      </c>
      <c r="AK53" s="23">
        <f t="shared" si="111"/>
        <v>1748.9101052798942</v>
      </c>
      <c r="AL53" s="23">
        <f t="shared" si="111"/>
        <v>10024.971529140705</v>
      </c>
      <c r="AM53" s="23">
        <f t="shared" si="110"/>
        <v>5060.3082697939972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3A6EF5EF-3206-4FA6-BEB6-EADE824B77C8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8DAE-B442-4B78-82B1-C78880C6C460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11" width="12.44140625" style="25" customWidth="1"/>
    <col min="12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54</v>
      </c>
      <c r="B3" s="1"/>
    </row>
    <row r="4" spans="1:39" s="11" customFormat="1" ht="15.6" x14ac:dyDescent="0.3">
      <c r="B4" s="2"/>
      <c r="D4" s="12">
        <v>44957</v>
      </c>
      <c r="E4" s="13">
        <f t="shared" ref="E4:AM4" si="0">EOMONTH(D4,1)</f>
        <v>44985</v>
      </c>
      <c r="F4" s="13">
        <f t="shared" si="0"/>
        <v>45016</v>
      </c>
      <c r="G4" s="13">
        <f t="shared" si="0"/>
        <v>45046</v>
      </c>
      <c r="H4" s="13">
        <f t="shared" si="0"/>
        <v>45077</v>
      </c>
      <c r="I4" s="13">
        <f t="shared" si="0"/>
        <v>45107</v>
      </c>
      <c r="J4" s="13">
        <f t="shared" si="0"/>
        <v>45138</v>
      </c>
      <c r="K4" s="13">
        <f t="shared" si="0"/>
        <v>45169</v>
      </c>
      <c r="L4" s="13">
        <f t="shared" si="0"/>
        <v>45199</v>
      </c>
      <c r="M4" s="13">
        <f t="shared" si="0"/>
        <v>45230</v>
      </c>
      <c r="N4" s="13">
        <f t="shared" si="0"/>
        <v>45260</v>
      </c>
      <c r="O4" s="13">
        <f t="shared" si="0"/>
        <v>45291</v>
      </c>
      <c r="P4" s="13">
        <f t="shared" si="0"/>
        <v>45322</v>
      </c>
      <c r="Q4" s="13">
        <f t="shared" si="0"/>
        <v>45351</v>
      </c>
      <c r="R4" s="13">
        <f t="shared" si="0"/>
        <v>45382</v>
      </c>
      <c r="S4" s="13">
        <f t="shared" si="0"/>
        <v>45412</v>
      </c>
      <c r="T4" s="13">
        <f t="shared" si="0"/>
        <v>45443</v>
      </c>
      <c r="U4" s="13">
        <f t="shared" si="0"/>
        <v>45473</v>
      </c>
      <c r="V4" s="13">
        <f t="shared" si="0"/>
        <v>45504</v>
      </c>
      <c r="W4" s="13">
        <f t="shared" si="0"/>
        <v>45535</v>
      </c>
      <c r="X4" s="13">
        <f t="shared" si="0"/>
        <v>45565</v>
      </c>
      <c r="Y4" s="13">
        <f t="shared" si="0"/>
        <v>45596</v>
      </c>
      <c r="Z4" s="13">
        <f t="shared" si="0"/>
        <v>45626</v>
      </c>
      <c r="AA4" s="13">
        <f t="shared" si="0"/>
        <v>45657</v>
      </c>
      <c r="AB4" s="13">
        <f t="shared" si="0"/>
        <v>45688</v>
      </c>
      <c r="AC4" s="13">
        <f t="shared" si="0"/>
        <v>45716</v>
      </c>
      <c r="AD4" s="13">
        <f t="shared" si="0"/>
        <v>45747</v>
      </c>
      <c r="AE4" s="13">
        <f t="shared" si="0"/>
        <v>45777</v>
      </c>
      <c r="AF4" s="13">
        <f t="shared" si="0"/>
        <v>45808</v>
      </c>
      <c r="AG4" s="13">
        <f t="shared" si="0"/>
        <v>45838</v>
      </c>
      <c r="AH4" s="13">
        <f t="shared" si="0"/>
        <v>45869</v>
      </c>
      <c r="AI4" s="13">
        <f t="shared" si="0"/>
        <v>45900</v>
      </c>
      <c r="AJ4" s="13">
        <f t="shared" si="0"/>
        <v>45930</v>
      </c>
      <c r="AK4" s="13">
        <f t="shared" si="0"/>
        <v>45961</v>
      </c>
      <c r="AL4" s="13">
        <f t="shared" si="0"/>
        <v>45991</v>
      </c>
      <c r="AM4" s="13">
        <f t="shared" si="0"/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1">SUM(D6 + D5)</f>
        <v>0</v>
      </c>
      <c r="E7" s="19">
        <f t="shared" si="1"/>
        <v>0</v>
      </c>
      <c r="F7" s="19">
        <f t="shared" si="1"/>
        <v>0</v>
      </c>
      <c r="G7" s="19">
        <f t="shared" si="1"/>
        <v>0</v>
      </c>
      <c r="H7" s="19">
        <f t="shared" si="1"/>
        <v>0</v>
      </c>
      <c r="I7" s="19">
        <f t="shared" si="1"/>
        <v>0</v>
      </c>
      <c r="J7" s="19">
        <f t="shared" si="1"/>
        <v>0</v>
      </c>
      <c r="K7" s="19">
        <f t="shared" si="1"/>
        <v>0</v>
      </c>
      <c r="L7" s="19">
        <f t="shared" si="1"/>
        <v>0</v>
      </c>
      <c r="M7" s="19">
        <f t="shared" si="1"/>
        <v>0</v>
      </c>
      <c r="N7" s="19">
        <f t="shared" si="1"/>
        <v>0</v>
      </c>
      <c r="O7" s="19">
        <f t="shared" si="1"/>
        <v>0</v>
      </c>
      <c r="P7" s="19">
        <f t="shared" si="1"/>
        <v>0</v>
      </c>
      <c r="Q7" s="19">
        <f t="shared" si="1"/>
        <v>0</v>
      </c>
      <c r="R7" s="19">
        <f t="shared" si="1"/>
        <v>0</v>
      </c>
      <c r="S7" s="19">
        <f t="shared" si="1"/>
        <v>0</v>
      </c>
      <c r="T7" s="19">
        <f t="shared" si="1"/>
        <v>0</v>
      </c>
      <c r="U7" s="19">
        <f t="shared" si="1"/>
        <v>0</v>
      </c>
      <c r="V7" s="19">
        <f t="shared" si="1"/>
        <v>0</v>
      </c>
      <c r="W7" s="19">
        <f t="shared" si="1"/>
        <v>0</v>
      </c>
      <c r="X7" s="19">
        <f t="shared" si="1"/>
        <v>0</v>
      </c>
      <c r="Y7" s="19">
        <f t="shared" si="1"/>
        <v>0</v>
      </c>
      <c r="Z7" s="19">
        <f t="shared" si="1"/>
        <v>0</v>
      </c>
      <c r="AA7" s="19">
        <f t="shared" si="1"/>
        <v>0</v>
      </c>
      <c r="AB7" s="19">
        <f t="shared" si="1"/>
        <v>0</v>
      </c>
      <c r="AC7" s="19">
        <f t="shared" si="1"/>
        <v>0</v>
      </c>
      <c r="AD7" s="19">
        <f t="shared" si="1"/>
        <v>0</v>
      </c>
      <c r="AE7" s="19">
        <f t="shared" si="1"/>
        <v>0</v>
      </c>
      <c r="AF7" s="19">
        <f t="shared" si="1"/>
        <v>0</v>
      </c>
      <c r="AG7" s="19">
        <f t="shared" si="1"/>
        <v>0</v>
      </c>
      <c r="AH7" s="19">
        <f t="shared" si="1"/>
        <v>0</v>
      </c>
      <c r="AI7" s="19">
        <f t="shared" si="1"/>
        <v>0</v>
      </c>
      <c r="AJ7" s="19">
        <f t="shared" si="1"/>
        <v>0</v>
      </c>
      <c r="AK7" s="19">
        <f t="shared" si="1"/>
        <v>0</v>
      </c>
      <c r="AL7" s="19">
        <f t="shared" si="1"/>
        <v>0</v>
      </c>
      <c r="AM7" s="19">
        <f t="shared" si="1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2">SUM(D10, D9 + D8)</f>
        <v>0</v>
      </c>
      <c r="E11" s="19">
        <f t="shared" si="2"/>
        <v>0</v>
      </c>
      <c r="F11" s="19">
        <f t="shared" si="2"/>
        <v>0</v>
      </c>
      <c r="G11" s="19">
        <f t="shared" si="2"/>
        <v>0</v>
      </c>
      <c r="H11" s="19">
        <f t="shared" si="2"/>
        <v>0</v>
      </c>
      <c r="I11" s="19">
        <f t="shared" si="2"/>
        <v>0</v>
      </c>
      <c r="J11" s="19">
        <f t="shared" si="2"/>
        <v>0</v>
      </c>
      <c r="K11" s="19">
        <f t="shared" si="2"/>
        <v>0</v>
      </c>
      <c r="L11" s="19">
        <f t="shared" si="2"/>
        <v>0</v>
      </c>
      <c r="M11" s="19">
        <f t="shared" si="2"/>
        <v>0</v>
      </c>
      <c r="N11" s="19">
        <f t="shared" si="2"/>
        <v>0</v>
      </c>
      <c r="O11" s="19">
        <f t="shared" si="2"/>
        <v>0</v>
      </c>
      <c r="P11" s="19">
        <f t="shared" si="2"/>
        <v>0</v>
      </c>
      <c r="Q11" s="19">
        <f t="shared" si="2"/>
        <v>0</v>
      </c>
      <c r="R11" s="19">
        <f t="shared" si="2"/>
        <v>0</v>
      </c>
      <c r="S11" s="19">
        <f t="shared" si="2"/>
        <v>0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W11" s="19">
        <f t="shared" si="2"/>
        <v>0</v>
      </c>
      <c r="X11" s="19">
        <f t="shared" si="2"/>
        <v>0</v>
      </c>
      <c r="Y11" s="19">
        <f t="shared" si="2"/>
        <v>0</v>
      </c>
      <c r="Z11" s="19">
        <f t="shared" si="2"/>
        <v>0</v>
      </c>
      <c r="AA11" s="19">
        <f t="shared" si="2"/>
        <v>0</v>
      </c>
      <c r="AB11" s="19">
        <f t="shared" si="2"/>
        <v>0</v>
      </c>
      <c r="AC11" s="19">
        <f t="shared" si="2"/>
        <v>0</v>
      </c>
      <c r="AD11" s="19">
        <f t="shared" si="2"/>
        <v>0</v>
      </c>
      <c r="AE11" s="19">
        <f t="shared" si="2"/>
        <v>0</v>
      </c>
      <c r="AF11" s="19">
        <f t="shared" si="2"/>
        <v>0</v>
      </c>
      <c r="AG11" s="19">
        <f t="shared" si="2"/>
        <v>0</v>
      </c>
      <c r="AH11" s="19">
        <f t="shared" si="2"/>
        <v>0</v>
      </c>
      <c r="AI11" s="19">
        <f t="shared" si="2"/>
        <v>0</v>
      </c>
      <c r="AJ11" s="19">
        <f t="shared" si="2"/>
        <v>0</v>
      </c>
      <c r="AK11" s="19">
        <f t="shared" si="2"/>
        <v>0</v>
      </c>
      <c r="AL11" s="19">
        <f t="shared" si="2"/>
        <v>0</v>
      </c>
      <c r="AM11" s="19">
        <f t="shared" si="2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">D7-D11</f>
        <v>0</v>
      </c>
      <c r="E12" s="23">
        <f t="shared" si="3"/>
        <v>0</v>
      </c>
      <c r="F12" s="23">
        <f t="shared" si="3"/>
        <v>0</v>
      </c>
      <c r="G12" s="23">
        <f t="shared" si="3"/>
        <v>0</v>
      </c>
      <c r="H12" s="23">
        <f t="shared" si="3"/>
        <v>0</v>
      </c>
      <c r="I12" s="23">
        <f t="shared" si="3"/>
        <v>0</v>
      </c>
      <c r="J12" s="23">
        <f t="shared" si="3"/>
        <v>0</v>
      </c>
      <c r="K12" s="23">
        <f t="shared" si="3"/>
        <v>0</v>
      </c>
      <c r="L12" s="23">
        <f t="shared" si="3"/>
        <v>0</v>
      </c>
      <c r="M12" s="23">
        <f t="shared" si="3"/>
        <v>0</v>
      </c>
      <c r="N12" s="23">
        <f t="shared" si="3"/>
        <v>0</v>
      </c>
      <c r="O12" s="23">
        <f t="shared" si="3"/>
        <v>0</v>
      </c>
      <c r="P12" s="23">
        <f t="shared" si="3"/>
        <v>0</v>
      </c>
      <c r="Q12" s="23">
        <f t="shared" si="3"/>
        <v>0</v>
      </c>
      <c r="R12" s="23">
        <f t="shared" si="3"/>
        <v>0</v>
      </c>
      <c r="S12" s="23">
        <f t="shared" si="3"/>
        <v>0</v>
      </c>
      <c r="T12" s="23">
        <f t="shared" si="3"/>
        <v>0</v>
      </c>
      <c r="U12" s="23">
        <f t="shared" si="3"/>
        <v>0</v>
      </c>
      <c r="V12" s="23">
        <f t="shared" si="3"/>
        <v>0</v>
      </c>
      <c r="W12" s="23">
        <f t="shared" si="3"/>
        <v>0</v>
      </c>
      <c r="X12" s="23">
        <f t="shared" si="3"/>
        <v>0</v>
      </c>
      <c r="Y12" s="23">
        <f t="shared" si="3"/>
        <v>0</v>
      </c>
      <c r="Z12" s="23">
        <f t="shared" si="3"/>
        <v>0</v>
      </c>
      <c r="AA12" s="23">
        <f t="shared" si="3"/>
        <v>0</v>
      </c>
      <c r="AB12" s="23">
        <f t="shared" si="3"/>
        <v>0</v>
      </c>
      <c r="AC12" s="23">
        <f t="shared" si="3"/>
        <v>0</v>
      </c>
      <c r="AD12" s="23">
        <f t="shared" si="3"/>
        <v>0</v>
      </c>
      <c r="AE12" s="23">
        <f t="shared" si="3"/>
        <v>0</v>
      </c>
      <c r="AF12" s="23">
        <f t="shared" si="3"/>
        <v>0</v>
      </c>
      <c r="AG12" s="23">
        <f t="shared" si="3"/>
        <v>0</v>
      </c>
      <c r="AH12" s="23">
        <f t="shared" si="3"/>
        <v>0</v>
      </c>
      <c r="AI12" s="23">
        <f t="shared" si="3"/>
        <v>0</v>
      </c>
      <c r="AJ12" s="23">
        <f t="shared" si="3"/>
        <v>0</v>
      </c>
      <c r="AK12" s="23">
        <f t="shared" si="3"/>
        <v>0</v>
      </c>
      <c r="AL12" s="23">
        <f t="shared" si="3"/>
        <v>0</v>
      </c>
      <c r="AM12" s="23">
        <f t="shared" si="3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</row>
    <row r="17" spans="2:39" s="17" customFormat="1" ht="21" customHeight="1" x14ac:dyDescent="0.3">
      <c r="B17" s="4" t="s">
        <v>15</v>
      </c>
      <c r="C17" s="15"/>
      <c r="D17" s="18">
        <v>2600</v>
      </c>
      <c r="E17" s="18">
        <v>2678</v>
      </c>
      <c r="F17" s="18">
        <f>E17*(0.9)</f>
        <v>2410.2000000000003</v>
      </c>
      <c r="G17" s="18">
        <v>2482.5060000000003</v>
      </c>
      <c r="H17" s="18">
        <v>2556.9811800000002</v>
      </c>
      <c r="I17" s="18">
        <v>2633.6906154000003</v>
      </c>
      <c r="J17" s="18">
        <f t="shared" ref="J17:K17" si="4">I17*(0.9)</f>
        <v>2370.3215538600002</v>
      </c>
      <c r="K17" s="18">
        <f t="shared" si="4"/>
        <v>2133.2893984740003</v>
      </c>
      <c r="L17" s="18">
        <v>2197.2880804282204</v>
      </c>
      <c r="M17" s="18">
        <v>2263.2067228410669</v>
      </c>
      <c r="N17" s="18">
        <v>2331.1029245262989</v>
      </c>
      <c r="O17" s="18">
        <v>2401.0360122620878</v>
      </c>
      <c r="P17" s="18">
        <v>2473.0670926299504</v>
      </c>
      <c r="Q17" s="18">
        <f t="shared" ref="Q17:R17" si="5">P17*(0.9)</f>
        <v>2225.7603833669555</v>
      </c>
      <c r="R17" s="18">
        <f t="shared" si="5"/>
        <v>2003.1843450302599</v>
      </c>
      <c r="S17" s="18">
        <v>2063.2798753811676</v>
      </c>
      <c r="T17" s="18">
        <v>2125.1782716426028</v>
      </c>
      <c r="U17" s="18">
        <f>T17*(0.9)</f>
        <v>1912.6604444783425</v>
      </c>
      <c r="V17" s="18">
        <v>1970.0402578126927</v>
      </c>
      <c r="W17" s="18">
        <v>2029.1414655470735</v>
      </c>
      <c r="X17" s="18">
        <v>2090.0157095134859</v>
      </c>
      <c r="Y17" s="18">
        <f>X17*(0.9)</f>
        <v>1881.0141385621373</v>
      </c>
      <c r="Z17" s="18">
        <v>1937.4445627190014</v>
      </c>
      <c r="AA17" s="18">
        <v>1995.5678996005715</v>
      </c>
      <c r="AB17" s="18">
        <v>2055.4349365885887</v>
      </c>
      <c r="AC17" s="18">
        <f>AB17*(0.9)</f>
        <v>1849.8914429297299</v>
      </c>
      <c r="AD17" s="18">
        <v>1905.388186217622</v>
      </c>
      <c r="AE17" s="18">
        <v>1962.5498318041507</v>
      </c>
      <c r="AF17" s="18">
        <v>2021.4263267582753</v>
      </c>
      <c r="AG17" s="18">
        <v>2082.0691165610237</v>
      </c>
      <c r="AH17" s="18">
        <f t="shared" ref="AH17:AI17" si="6">AG17*(0.9)</f>
        <v>1873.8622049049213</v>
      </c>
      <c r="AI17" s="18">
        <f t="shared" si="6"/>
        <v>1686.4759844144291</v>
      </c>
      <c r="AJ17" s="18">
        <v>1737.070263946862</v>
      </c>
      <c r="AK17" s="18">
        <v>1789.1823718652679</v>
      </c>
      <c r="AL17" s="18">
        <f t="shared" ref="AL17:AM17" si="7">AK17*(0.9)</f>
        <v>1610.2641346787411</v>
      </c>
      <c r="AM17" s="18">
        <f t="shared" si="7"/>
        <v>1449.237721210867</v>
      </c>
    </row>
    <row r="18" spans="2:39" s="17" customFormat="1" ht="21" customHeight="1" x14ac:dyDescent="0.3">
      <c r="B18" s="4" t="s">
        <v>16</v>
      </c>
      <c r="C18" s="15"/>
      <c r="D18" s="18">
        <v>150</v>
      </c>
      <c r="E18" s="18">
        <v>154.5</v>
      </c>
      <c r="F18" s="18">
        <v>159.13499999999999</v>
      </c>
      <c r="G18" s="18">
        <v>163.90905000000001</v>
      </c>
      <c r="H18" s="18">
        <v>168.82632150000001</v>
      </c>
      <c r="I18" s="18">
        <v>173.891111145</v>
      </c>
      <c r="J18" s="18">
        <v>179.10784447935001</v>
      </c>
      <c r="K18" s="18">
        <v>184.4810798137305</v>
      </c>
      <c r="L18" s="18">
        <v>190.01551220814241</v>
      </c>
      <c r="M18" s="18">
        <v>195.7159775743867</v>
      </c>
      <c r="N18" s="18">
        <v>201.58745690161831</v>
      </c>
      <c r="O18" s="18">
        <v>207.63508060866687</v>
      </c>
      <c r="P18" s="18">
        <v>213.86413302692688</v>
      </c>
      <c r="Q18" s="18">
        <v>220.28005701773469</v>
      </c>
      <c r="R18" s="18">
        <v>226.88845872826673</v>
      </c>
      <c r="S18" s="18">
        <v>233.69511249011472</v>
      </c>
      <c r="T18" s="18">
        <v>240.70596586481818</v>
      </c>
      <c r="U18" s="18">
        <v>247.92714484076274</v>
      </c>
      <c r="V18" s="18">
        <v>255.36495918598561</v>
      </c>
      <c r="W18" s="18">
        <v>263.02590796156517</v>
      </c>
      <c r="X18" s="18">
        <v>270.91668520041213</v>
      </c>
      <c r="Y18" s="18">
        <v>279.0441857564245</v>
      </c>
      <c r="Z18" s="18">
        <v>287.41551132911724</v>
      </c>
      <c r="AA18" s="18">
        <v>296.03797666899078</v>
      </c>
      <c r="AB18" s="18">
        <v>304.9191159690605</v>
      </c>
      <c r="AC18" s="18">
        <v>314.06668944813231</v>
      </c>
      <c r="AD18" s="18">
        <v>323.48869013157628</v>
      </c>
      <c r="AE18" s="18">
        <v>333.19335083552357</v>
      </c>
      <c r="AF18" s="18">
        <v>343.18915136058928</v>
      </c>
      <c r="AG18" s="18">
        <v>353.48482590140696</v>
      </c>
      <c r="AH18" s="18">
        <v>364.0893706784492</v>
      </c>
      <c r="AI18" s="18">
        <v>375.0120517988027</v>
      </c>
      <c r="AJ18" s="18">
        <v>386.26241335276677</v>
      </c>
      <c r="AK18" s="18">
        <v>397.85028575334979</v>
      </c>
      <c r="AL18" s="18">
        <v>409.78579432595029</v>
      </c>
      <c r="AM18" s="18">
        <v>422.07936815572879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400</v>
      </c>
      <c r="E20" s="18">
        <v>412</v>
      </c>
      <c r="F20" s="18">
        <v>424.36</v>
      </c>
      <c r="G20" s="18">
        <v>437.0908</v>
      </c>
      <c r="H20" s="18">
        <v>450.20352400000002</v>
      </c>
      <c r="I20" s="18">
        <v>463.70962972000001</v>
      </c>
      <c r="J20" s="18">
        <v>477.62091861160002</v>
      </c>
      <c r="K20" s="18">
        <v>491.94954616994801</v>
      </c>
      <c r="L20" s="18">
        <v>506.70803255504649</v>
      </c>
      <c r="M20" s="18">
        <v>521.90927353169786</v>
      </c>
      <c r="N20" s="18">
        <v>537.56655173764887</v>
      </c>
      <c r="O20" s="18">
        <v>553.69354828977839</v>
      </c>
      <c r="P20" s="18">
        <v>570.30435473847172</v>
      </c>
      <c r="Q20" s="18">
        <v>587.41348538062584</v>
      </c>
      <c r="R20" s="18">
        <v>605.03588994204461</v>
      </c>
      <c r="S20" s="18">
        <v>623.18696664030597</v>
      </c>
      <c r="T20" s="18">
        <v>641.88257563951515</v>
      </c>
      <c r="U20" s="18">
        <v>661.13905290870059</v>
      </c>
      <c r="V20" s="18">
        <v>680.97322449596163</v>
      </c>
      <c r="W20" s="18">
        <v>701.40242123084045</v>
      </c>
      <c r="X20" s="18">
        <v>722.44449386776569</v>
      </c>
      <c r="Y20" s="18">
        <v>744.11782868379862</v>
      </c>
      <c r="Z20" s="18">
        <v>766.44136354431259</v>
      </c>
      <c r="AA20" s="18">
        <v>789.43460445064204</v>
      </c>
      <c r="AB20" s="18">
        <v>813.11764258416133</v>
      </c>
      <c r="AC20" s="18">
        <v>837.51117186168619</v>
      </c>
      <c r="AD20" s="18">
        <v>862.63650701753681</v>
      </c>
      <c r="AE20" s="18">
        <v>888.5156022280629</v>
      </c>
      <c r="AF20" s="18">
        <v>915.17107029490478</v>
      </c>
      <c r="AG20" s="18">
        <v>942.6262024037519</v>
      </c>
      <c r="AH20" s="18">
        <v>970.90498847586446</v>
      </c>
      <c r="AI20" s="18">
        <v>1000.0321381301404</v>
      </c>
      <c r="AJ20" s="18">
        <v>1030.0331022740447</v>
      </c>
      <c r="AK20" s="18">
        <v>1060.9340953422661</v>
      </c>
      <c r="AL20" s="18">
        <v>1092.7621182025341</v>
      </c>
      <c r="AM20" s="18">
        <v>1125.5449817486101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8">SUM(D22, D21, D20 + D19)</f>
        <v>400</v>
      </c>
      <c r="E23" s="19">
        <f t="shared" ref="E23:O23" si="9">SUM(E22, E21, E20 + E19)</f>
        <v>412</v>
      </c>
      <c r="F23" s="19">
        <f t="shared" si="9"/>
        <v>424.36</v>
      </c>
      <c r="G23" s="19">
        <f t="shared" si="9"/>
        <v>437.0908</v>
      </c>
      <c r="H23" s="19">
        <f t="shared" si="9"/>
        <v>450.20352400000002</v>
      </c>
      <c r="I23" s="19">
        <f t="shared" si="9"/>
        <v>463.70962972000001</v>
      </c>
      <c r="J23" s="19">
        <f t="shared" si="9"/>
        <v>477.62091861160002</v>
      </c>
      <c r="K23" s="19">
        <f t="shared" si="9"/>
        <v>491.94954616994801</v>
      </c>
      <c r="L23" s="19">
        <f t="shared" si="9"/>
        <v>506.70803255504649</v>
      </c>
      <c r="M23" s="19">
        <f t="shared" si="9"/>
        <v>521.90927353169786</v>
      </c>
      <c r="N23" s="19">
        <f t="shared" si="9"/>
        <v>537.56655173764887</v>
      </c>
      <c r="O23" s="19">
        <f t="shared" si="9"/>
        <v>553.69354828977839</v>
      </c>
      <c r="P23" s="19">
        <f t="shared" si="8"/>
        <v>570.30435473847172</v>
      </c>
      <c r="Q23" s="19">
        <f t="shared" si="8"/>
        <v>587.41348538062584</v>
      </c>
      <c r="R23" s="19">
        <f t="shared" si="8"/>
        <v>605.03588994204461</v>
      </c>
      <c r="S23" s="19">
        <f t="shared" si="8"/>
        <v>623.18696664030597</v>
      </c>
      <c r="T23" s="19">
        <f t="shared" si="8"/>
        <v>641.88257563951515</v>
      </c>
      <c r="U23" s="19">
        <f t="shared" si="8"/>
        <v>661.13905290870059</v>
      </c>
      <c r="V23" s="19">
        <f t="shared" si="8"/>
        <v>680.97322449596163</v>
      </c>
      <c r="W23" s="19">
        <f t="shared" si="8"/>
        <v>701.40242123084045</v>
      </c>
      <c r="X23" s="19">
        <f t="shared" si="8"/>
        <v>722.44449386776569</v>
      </c>
      <c r="Y23" s="19">
        <f t="shared" si="8"/>
        <v>744.11782868379862</v>
      </c>
      <c r="Z23" s="19">
        <f t="shared" si="8"/>
        <v>766.44136354431259</v>
      </c>
      <c r="AA23" s="19">
        <f t="shared" si="8"/>
        <v>789.43460445064204</v>
      </c>
      <c r="AB23" s="19">
        <f t="shared" si="8"/>
        <v>813.11764258416133</v>
      </c>
      <c r="AC23" s="19">
        <f t="shared" si="8"/>
        <v>837.51117186168619</v>
      </c>
      <c r="AD23" s="19">
        <f t="shared" si="8"/>
        <v>862.63650701753681</v>
      </c>
      <c r="AE23" s="19">
        <f t="shared" si="8"/>
        <v>888.5156022280629</v>
      </c>
      <c r="AF23" s="19">
        <f t="shared" si="8"/>
        <v>915.17107029490478</v>
      </c>
      <c r="AG23" s="19">
        <f t="shared" si="8"/>
        <v>942.6262024037519</v>
      </c>
      <c r="AH23" s="19">
        <f t="shared" si="8"/>
        <v>970.90498847586446</v>
      </c>
      <c r="AI23" s="19">
        <f t="shared" si="8"/>
        <v>1000.0321381301404</v>
      </c>
      <c r="AJ23" s="19">
        <f t="shared" si="8"/>
        <v>1030.0331022740447</v>
      </c>
      <c r="AK23" s="19">
        <f t="shared" si="8"/>
        <v>1060.9340953422661</v>
      </c>
      <c r="AL23" s="19">
        <f t="shared" si="8"/>
        <v>1092.7621182025341</v>
      </c>
      <c r="AM23" s="19">
        <f t="shared" si="8"/>
        <v>1125.5449817486101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500</v>
      </c>
      <c r="E27" s="18">
        <v>515</v>
      </c>
      <c r="F27" s="18">
        <v>530.45000000000005</v>
      </c>
      <c r="G27" s="18">
        <v>546.36350000000004</v>
      </c>
      <c r="H27" s="18">
        <v>562.75440500000002</v>
      </c>
      <c r="I27" s="18">
        <v>579.63703715000008</v>
      </c>
      <c r="J27" s="18">
        <v>597.02614826450008</v>
      </c>
      <c r="K27" s="18">
        <v>614.93693271243512</v>
      </c>
      <c r="L27" s="18">
        <v>633.38504069380815</v>
      </c>
      <c r="M27" s="18">
        <v>652.38659191462239</v>
      </c>
      <c r="N27" s="18">
        <v>671.95818967206105</v>
      </c>
      <c r="O27" s="18">
        <v>692.11693536222288</v>
      </c>
      <c r="P27" s="18">
        <v>712.88044342308956</v>
      </c>
      <c r="Q27" s="18">
        <v>734.2668567257823</v>
      </c>
      <c r="R27" s="18">
        <v>756.29486242755581</v>
      </c>
      <c r="S27" s="18">
        <v>778.98370830038255</v>
      </c>
      <c r="T27" s="18">
        <v>802.353219549394</v>
      </c>
      <c r="U27" s="18">
        <v>826.42381613587588</v>
      </c>
      <c r="V27" s="18">
        <v>851.21653061995221</v>
      </c>
      <c r="W27" s="18">
        <v>876.75302653855078</v>
      </c>
      <c r="X27" s="18">
        <v>903.05561733470734</v>
      </c>
      <c r="Y27" s="18">
        <v>930.14728585474859</v>
      </c>
      <c r="Z27" s="18">
        <v>958.05170443039106</v>
      </c>
      <c r="AA27" s="18">
        <v>986.79325556330286</v>
      </c>
      <c r="AB27" s="18">
        <v>1016.397053230202</v>
      </c>
      <c r="AC27" s="18">
        <v>1046.8889648271081</v>
      </c>
      <c r="AD27" s="18">
        <v>1078.2956337719213</v>
      </c>
      <c r="AE27" s="18">
        <v>1110.6445027850789</v>
      </c>
      <c r="AF27" s="18">
        <v>1143.9638378686313</v>
      </c>
      <c r="AG27" s="18">
        <v>1178.2827530046902</v>
      </c>
      <c r="AH27" s="18">
        <v>1213.631235594831</v>
      </c>
      <c r="AI27" s="18">
        <v>1250.040172662676</v>
      </c>
      <c r="AJ27" s="18">
        <v>1287.5413778425564</v>
      </c>
      <c r="AK27" s="18">
        <v>1326.1676191778331</v>
      </c>
      <c r="AL27" s="18">
        <v>1365.9526477531681</v>
      </c>
      <c r="AM27" s="18">
        <v>1406.9312271857632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v>2121.8000000000002</v>
      </c>
      <c r="G28" s="18">
        <v>2185.4540000000002</v>
      </c>
      <c r="H28" s="18">
        <f>G28*(0.9)</f>
        <v>1966.9086000000002</v>
      </c>
      <c r="I28" s="18">
        <v>2025.9158580000003</v>
      </c>
      <c r="J28" s="18">
        <v>2086.6933337400005</v>
      </c>
      <c r="K28" s="18">
        <v>2149.2941337522007</v>
      </c>
      <c r="L28" s="18">
        <v>2213.7729577647669</v>
      </c>
      <c r="M28" s="18">
        <v>2280.1861464977101</v>
      </c>
      <c r="N28" s="18">
        <v>2348.5917308926414</v>
      </c>
      <c r="O28" s="18">
        <f>N28*(0.9)</f>
        <v>2113.7325578033774</v>
      </c>
      <c r="P28" s="18">
        <v>2177.1445345374786</v>
      </c>
      <c r="Q28" s="18">
        <v>2242.4588705736032</v>
      </c>
      <c r="R28" s="18">
        <v>2309.7326366908114</v>
      </c>
      <c r="S28" s="18">
        <v>2379.0246157915358</v>
      </c>
      <c r="T28" s="18">
        <f>S28*(0.9)</f>
        <v>2141.1221542123822</v>
      </c>
      <c r="U28" s="18">
        <v>2205.3558188387537</v>
      </c>
      <c r="V28" s="18">
        <v>2271.5164934039162</v>
      </c>
      <c r="W28" s="18">
        <v>2339.6619882060336</v>
      </c>
      <c r="X28" s="18">
        <v>2409.8518478522146</v>
      </c>
      <c r="Y28" s="18">
        <v>2482.1474032877813</v>
      </c>
      <c r="Z28" s="18">
        <v>2556.6118253864147</v>
      </c>
      <c r="AA28" s="18">
        <f>Z28*(0.9)</f>
        <v>2300.9506428477735</v>
      </c>
      <c r="AB28" s="18">
        <v>2369.9791621332065</v>
      </c>
      <c r="AC28" s="18">
        <v>2441.0785369972027</v>
      </c>
      <c r="AD28" s="18">
        <v>2514.3108931071188</v>
      </c>
      <c r="AE28" s="18">
        <f>AD28*(0.9)</f>
        <v>2262.879803796407</v>
      </c>
      <c r="AF28" s="18">
        <v>2330.7661979102995</v>
      </c>
      <c r="AG28" s="18">
        <v>2400.6891838476085</v>
      </c>
      <c r="AH28" s="18">
        <f t="shared" ref="AH28:AI28" si="10">AG28*(0.9)</f>
        <v>2160.6202654628478</v>
      </c>
      <c r="AI28" s="18">
        <f t="shared" si="10"/>
        <v>1944.5582389165631</v>
      </c>
      <c r="AJ28" s="18">
        <v>2002.8949860840601</v>
      </c>
      <c r="AK28" s="18">
        <v>2062.9818356665819</v>
      </c>
      <c r="AL28" s="18">
        <v>2124.8712907365793</v>
      </c>
      <c r="AM28" s="18">
        <v>2188.6174294586767</v>
      </c>
    </row>
    <row r="29" spans="2:39" s="17" customFormat="1" ht="21" customHeight="1" x14ac:dyDescent="0.3">
      <c r="B29" s="6" t="s">
        <v>27</v>
      </c>
      <c r="C29" s="15"/>
      <c r="D29" s="19">
        <f t="shared" ref="D29:AM29" si="11">SUM(D28, D27, D26, D25 + D24)</f>
        <v>2500</v>
      </c>
      <c r="E29" s="19">
        <f t="shared" ref="E29:O29" si="12">SUM(E28, E27, E26, E25 + E24)</f>
        <v>2575</v>
      </c>
      <c r="F29" s="19">
        <f t="shared" si="12"/>
        <v>2652.25</v>
      </c>
      <c r="G29" s="19">
        <f t="shared" si="12"/>
        <v>2731.8175000000001</v>
      </c>
      <c r="H29" s="19">
        <f t="shared" si="12"/>
        <v>2529.6630050000003</v>
      </c>
      <c r="I29" s="19">
        <f t="shared" si="12"/>
        <v>2605.5528951500005</v>
      </c>
      <c r="J29" s="19">
        <f t="shared" si="12"/>
        <v>2683.7194820045006</v>
      </c>
      <c r="K29" s="19">
        <f t="shared" si="12"/>
        <v>2764.2310664646357</v>
      </c>
      <c r="L29" s="19">
        <f t="shared" si="12"/>
        <v>2847.1579984585751</v>
      </c>
      <c r="M29" s="19">
        <f t="shared" si="12"/>
        <v>2932.5727384123325</v>
      </c>
      <c r="N29" s="19">
        <f t="shared" si="12"/>
        <v>3020.5499205647025</v>
      </c>
      <c r="O29" s="19">
        <f t="shared" si="12"/>
        <v>2805.8494931656005</v>
      </c>
      <c r="P29" s="19">
        <f t="shared" si="11"/>
        <v>2890.0249779605683</v>
      </c>
      <c r="Q29" s="19">
        <f t="shared" si="11"/>
        <v>2976.7257272993857</v>
      </c>
      <c r="R29" s="19">
        <f t="shared" si="11"/>
        <v>3066.0274991183674</v>
      </c>
      <c r="S29" s="19">
        <f t="shared" si="11"/>
        <v>3158.0083240919184</v>
      </c>
      <c r="T29" s="19">
        <f t="shared" si="11"/>
        <v>2943.4753737617762</v>
      </c>
      <c r="U29" s="19">
        <f t="shared" si="11"/>
        <v>3031.7796349746295</v>
      </c>
      <c r="V29" s="19">
        <f t="shared" si="11"/>
        <v>3122.7330240238684</v>
      </c>
      <c r="W29" s="19">
        <f t="shared" si="11"/>
        <v>3216.4150147445844</v>
      </c>
      <c r="X29" s="19">
        <f t="shared" si="11"/>
        <v>3312.9074651869219</v>
      </c>
      <c r="Y29" s="19">
        <f t="shared" si="11"/>
        <v>3412.2946891425299</v>
      </c>
      <c r="Z29" s="19">
        <f t="shared" si="11"/>
        <v>3514.6635298168057</v>
      </c>
      <c r="AA29" s="19">
        <f t="shared" si="11"/>
        <v>3287.7438984110763</v>
      </c>
      <c r="AB29" s="19">
        <f t="shared" si="11"/>
        <v>3386.3762153634084</v>
      </c>
      <c r="AC29" s="19">
        <f t="shared" si="11"/>
        <v>3487.9675018243106</v>
      </c>
      <c r="AD29" s="19">
        <f t="shared" si="11"/>
        <v>3592.6065268790398</v>
      </c>
      <c r="AE29" s="19">
        <f t="shared" si="11"/>
        <v>3373.5243065814857</v>
      </c>
      <c r="AF29" s="19">
        <f t="shared" si="11"/>
        <v>3474.7300357789309</v>
      </c>
      <c r="AG29" s="19">
        <f t="shared" si="11"/>
        <v>3578.9719368522988</v>
      </c>
      <c r="AH29" s="19">
        <f t="shared" si="11"/>
        <v>3374.251501057679</v>
      </c>
      <c r="AI29" s="19">
        <f t="shared" si="11"/>
        <v>3194.5984115792389</v>
      </c>
      <c r="AJ29" s="19">
        <f t="shared" si="11"/>
        <v>3290.4363639266167</v>
      </c>
      <c r="AK29" s="19">
        <f t="shared" si="11"/>
        <v>3389.1494548444152</v>
      </c>
      <c r="AL29" s="19">
        <f t="shared" si="11"/>
        <v>3490.8239384897474</v>
      </c>
      <c r="AM29" s="19">
        <f t="shared" si="11"/>
        <v>3595.5486566444397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6000</v>
      </c>
      <c r="E31" s="18">
        <v>6180</v>
      </c>
      <c r="F31" s="18">
        <f>E31*(0.9)</f>
        <v>5562</v>
      </c>
      <c r="G31" s="18">
        <v>5728.8600000000006</v>
      </c>
      <c r="H31" s="18">
        <v>5900.7258000000011</v>
      </c>
      <c r="I31" s="18">
        <v>6077.7475740000009</v>
      </c>
      <c r="J31" s="18">
        <v>6260.0800012200007</v>
      </c>
      <c r="K31" s="18">
        <v>6447.882401256601</v>
      </c>
      <c r="L31" s="18">
        <v>6641.318873294299</v>
      </c>
      <c r="M31" s="18">
        <v>6840.5584394931284</v>
      </c>
      <c r="N31" s="18">
        <v>7045.7751926779229</v>
      </c>
      <c r="O31" s="18">
        <f>N31*(0.9)</f>
        <v>6341.1976734101308</v>
      </c>
      <c r="P31" s="18">
        <v>6531.433603612435</v>
      </c>
      <c r="Q31" s="18">
        <v>6727.3766117208079</v>
      </c>
      <c r="R31" s="18">
        <v>6929.197910072432</v>
      </c>
      <c r="S31" s="18">
        <v>7137.0738473746051</v>
      </c>
      <c r="T31" s="18">
        <v>7351.1860627958431</v>
      </c>
      <c r="U31" s="18">
        <v>7571.7216446797183</v>
      </c>
      <c r="V31" s="18">
        <f>U31*(0.9)</f>
        <v>6814.5494802117464</v>
      </c>
      <c r="W31" s="18">
        <v>7018.9859646180994</v>
      </c>
      <c r="X31" s="18">
        <v>7229.555543556643</v>
      </c>
      <c r="Y31" s="18">
        <v>7446.4422098633422</v>
      </c>
      <c r="Z31" s="18">
        <v>7669.8354761592427</v>
      </c>
      <c r="AA31" s="18">
        <v>7899.9305404440202</v>
      </c>
      <c r="AB31" s="18">
        <v>8136.9284566573406</v>
      </c>
      <c r="AC31" s="18">
        <f t="shared" ref="AC31:AD31" si="13">AB31*(0.9)</f>
        <v>7323.2356109916063</v>
      </c>
      <c r="AD31" s="18">
        <f t="shared" si="13"/>
        <v>6590.9120498924458</v>
      </c>
      <c r="AE31" s="18">
        <v>6788.6394113892193</v>
      </c>
      <c r="AF31" s="18">
        <v>6992.2985937308958</v>
      </c>
      <c r="AG31" s="18">
        <v>7202.0675515428229</v>
      </c>
      <c r="AH31" s="18">
        <v>7418.1295780891078</v>
      </c>
      <c r="AI31" s="18">
        <f>AH31*(0.9)</f>
        <v>6676.3166202801967</v>
      </c>
      <c r="AJ31" s="18">
        <v>6876.6061188886024</v>
      </c>
      <c r="AK31" s="18">
        <v>7082.9043024552602</v>
      </c>
      <c r="AL31" s="18">
        <v>7295.3914315289185</v>
      </c>
      <c r="AM31" s="18">
        <v>7514.2531744747866</v>
      </c>
    </row>
    <row r="32" spans="2:39" s="17" customFormat="1" ht="21" customHeight="1" x14ac:dyDescent="0.3">
      <c r="B32" s="7" t="s">
        <v>30</v>
      </c>
      <c r="C32" s="15"/>
      <c r="D32" s="18">
        <f>D31*0.08</f>
        <v>480</v>
      </c>
      <c r="E32" s="18">
        <v>494.40000000000003</v>
      </c>
      <c r="F32" s="18">
        <f t="shared" ref="F32:F35" si="14">E32*(0.9)</f>
        <v>444.96000000000004</v>
      </c>
      <c r="G32" s="18">
        <v>458.30880000000008</v>
      </c>
      <c r="H32" s="18">
        <v>472.05806400000012</v>
      </c>
      <c r="I32" s="18">
        <v>486.21980592000011</v>
      </c>
      <c r="J32" s="18">
        <v>500.80640009760015</v>
      </c>
      <c r="K32" s="18">
        <v>515.83059210052818</v>
      </c>
      <c r="L32" s="18">
        <v>531.30550986354399</v>
      </c>
      <c r="M32" s="18">
        <v>547.24467515945037</v>
      </c>
      <c r="N32" s="18">
        <v>563.66201541423391</v>
      </c>
      <c r="O32" s="18">
        <f t="shared" ref="O32:O35" si="15">N32*(0.9)</f>
        <v>507.29581387281053</v>
      </c>
      <c r="P32" s="18">
        <v>522.51468828899488</v>
      </c>
      <c r="Q32" s="18">
        <v>538.19012893766478</v>
      </c>
      <c r="R32" s="18">
        <v>554.33583280579478</v>
      </c>
      <c r="S32" s="18">
        <v>570.96590778996858</v>
      </c>
      <c r="T32" s="18">
        <v>588.09488502366764</v>
      </c>
      <c r="U32" s="18">
        <v>605.73773157437768</v>
      </c>
      <c r="V32" s="18">
        <f t="shared" ref="V32:V35" si="16">U32*(0.9)</f>
        <v>545.16395841693998</v>
      </c>
      <c r="W32" s="18">
        <v>561.51887716944816</v>
      </c>
      <c r="X32" s="18">
        <v>578.36444348453165</v>
      </c>
      <c r="Y32" s="18">
        <v>595.71537678906759</v>
      </c>
      <c r="Z32" s="18">
        <v>613.58683809273964</v>
      </c>
      <c r="AA32" s="18">
        <v>631.99444323552189</v>
      </c>
      <c r="AB32" s="18">
        <v>650.95427653258753</v>
      </c>
      <c r="AC32" s="18">
        <f t="shared" ref="AC32:AD32" si="17">AB32*(0.9)</f>
        <v>585.85884887932878</v>
      </c>
      <c r="AD32" s="18">
        <f t="shared" si="17"/>
        <v>527.27296399139595</v>
      </c>
      <c r="AE32" s="18">
        <v>543.0911529111379</v>
      </c>
      <c r="AF32" s="18">
        <v>559.38388749847206</v>
      </c>
      <c r="AG32" s="18">
        <v>576.16540412342624</v>
      </c>
      <c r="AH32" s="18">
        <v>593.45036624712907</v>
      </c>
      <c r="AI32" s="18">
        <f t="shared" ref="AI32:AI35" si="18">AH32*(0.9)</f>
        <v>534.10532962241621</v>
      </c>
      <c r="AJ32" s="18">
        <v>550.12848951108867</v>
      </c>
      <c r="AK32" s="18">
        <v>566.6323441964214</v>
      </c>
      <c r="AL32" s="18">
        <v>583.63131452231403</v>
      </c>
      <c r="AM32" s="18">
        <v>601.14025395798342</v>
      </c>
    </row>
    <row r="33" spans="2:39" s="17" customFormat="1" ht="21" customHeight="1" x14ac:dyDescent="0.3">
      <c r="B33" s="7" t="s">
        <v>31</v>
      </c>
      <c r="C33" s="15"/>
      <c r="D33" s="18">
        <f>D31*1</f>
        <v>6000</v>
      </c>
      <c r="E33" s="18">
        <v>6180</v>
      </c>
      <c r="F33" s="18">
        <f t="shared" si="14"/>
        <v>5562</v>
      </c>
      <c r="G33" s="18">
        <v>5728.8600000000006</v>
      </c>
      <c r="H33" s="18">
        <v>5900.7258000000011</v>
      </c>
      <c r="I33" s="18">
        <v>6077.7475740000009</v>
      </c>
      <c r="J33" s="18">
        <v>6260.0800012200007</v>
      </c>
      <c r="K33" s="18">
        <v>6447.882401256601</v>
      </c>
      <c r="L33" s="18">
        <v>6641.318873294299</v>
      </c>
      <c r="M33" s="18">
        <v>6840.5584394931284</v>
      </c>
      <c r="N33" s="18">
        <v>7045.7751926779229</v>
      </c>
      <c r="O33" s="18">
        <f t="shared" si="15"/>
        <v>6341.1976734101308</v>
      </c>
      <c r="P33" s="18">
        <v>6531.433603612435</v>
      </c>
      <c r="Q33" s="18">
        <v>6727.3766117208079</v>
      </c>
      <c r="R33" s="18">
        <v>6929.197910072432</v>
      </c>
      <c r="S33" s="18">
        <v>7137.0738473746051</v>
      </c>
      <c r="T33" s="18">
        <v>7351.1860627958431</v>
      </c>
      <c r="U33" s="18">
        <v>7571.7216446797183</v>
      </c>
      <c r="V33" s="18">
        <f t="shared" si="16"/>
        <v>6814.5494802117464</v>
      </c>
      <c r="W33" s="18">
        <v>7018.9859646180994</v>
      </c>
      <c r="X33" s="18">
        <v>7229.555543556643</v>
      </c>
      <c r="Y33" s="18">
        <v>7446.4422098633422</v>
      </c>
      <c r="Z33" s="18">
        <v>7669.8354761592427</v>
      </c>
      <c r="AA33" s="18">
        <v>7899.9305404440202</v>
      </c>
      <c r="AB33" s="18">
        <v>8136.9284566573406</v>
      </c>
      <c r="AC33" s="18">
        <f t="shared" ref="AC33:AD33" si="19">AB33*(0.9)</f>
        <v>7323.2356109916063</v>
      </c>
      <c r="AD33" s="18">
        <f t="shared" si="19"/>
        <v>6590.9120498924458</v>
      </c>
      <c r="AE33" s="18">
        <v>6788.6394113892193</v>
      </c>
      <c r="AF33" s="18">
        <v>6992.2985937308958</v>
      </c>
      <c r="AG33" s="18">
        <v>7202.0675515428229</v>
      </c>
      <c r="AH33" s="18">
        <v>7418.1295780891078</v>
      </c>
      <c r="AI33" s="18">
        <f t="shared" si="18"/>
        <v>6676.3166202801967</v>
      </c>
      <c r="AJ33" s="18">
        <v>6876.6061188886024</v>
      </c>
      <c r="AK33" s="18">
        <v>7082.9043024552602</v>
      </c>
      <c r="AL33" s="18">
        <v>7295.3914315289185</v>
      </c>
      <c r="AM33" s="18">
        <v>7514.2531744747866</v>
      </c>
    </row>
    <row r="34" spans="2:39" s="17" customFormat="1" ht="21" customHeight="1" x14ac:dyDescent="0.3">
      <c r="B34" s="7" t="s">
        <v>32</v>
      </c>
      <c r="C34" s="15"/>
      <c r="D34" s="18">
        <f>D31*0.005</f>
        <v>30</v>
      </c>
      <c r="E34" s="18">
        <v>30.900000000000002</v>
      </c>
      <c r="F34" s="18">
        <f t="shared" si="14"/>
        <v>27.810000000000002</v>
      </c>
      <c r="G34" s="18">
        <v>28.644300000000005</v>
      </c>
      <c r="H34" s="18">
        <v>29.503629000000007</v>
      </c>
      <c r="I34" s="18">
        <v>30.388737870000007</v>
      </c>
      <c r="J34" s="18">
        <v>31.300400006100009</v>
      </c>
      <c r="K34" s="18">
        <v>32.239412006283011</v>
      </c>
      <c r="L34" s="18">
        <v>33.206594366471499</v>
      </c>
      <c r="M34" s="18">
        <v>34.202792197465648</v>
      </c>
      <c r="N34" s="18">
        <v>35.228875963389619</v>
      </c>
      <c r="O34" s="18">
        <f t="shared" si="15"/>
        <v>31.705988367050658</v>
      </c>
      <c r="P34" s="18">
        <v>32.65716801806218</v>
      </c>
      <c r="Q34" s="18">
        <v>33.636883058604049</v>
      </c>
      <c r="R34" s="18">
        <v>34.645989550362174</v>
      </c>
      <c r="S34" s="18">
        <v>35.685369236873036</v>
      </c>
      <c r="T34" s="18">
        <v>36.755930313979228</v>
      </c>
      <c r="U34" s="18">
        <v>37.858608223398605</v>
      </c>
      <c r="V34" s="18">
        <f t="shared" si="16"/>
        <v>34.072747401058749</v>
      </c>
      <c r="W34" s="18">
        <v>35.09492982309051</v>
      </c>
      <c r="X34" s="18">
        <v>36.147777717783228</v>
      </c>
      <c r="Y34" s="18">
        <v>37.232211049316724</v>
      </c>
      <c r="Z34" s="18">
        <v>38.349177380796228</v>
      </c>
      <c r="AA34" s="18">
        <v>39.499652702220118</v>
      </c>
      <c r="AB34" s="18">
        <v>40.68464228328672</v>
      </c>
      <c r="AC34" s="18">
        <f t="shared" ref="AC34:AD34" si="20">AB34*(0.9)</f>
        <v>36.616178054958048</v>
      </c>
      <c r="AD34" s="18">
        <f t="shared" si="20"/>
        <v>32.954560249462247</v>
      </c>
      <c r="AE34" s="18">
        <v>33.943197056946119</v>
      </c>
      <c r="AF34" s="18">
        <v>34.961492968654504</v>
      </c>
      <c r="AG34" s="18">
        <v>36.01033775771414</v>
      </c>
      <c r="AH34" s="18">
        <v>37.090647890445567</v>
      </c>
      <c r="AI34" s="18">
        <f t="shared" si="18"/>
        <v>33.381583101401013</v>
      </c>
      <c r="AJ34" s="18">
        <v>34.383030594443042</v>
      </c>
      <c r="AK34" s="18">
        <v>35.414521512276337</v>
      </c>
      <c r="AL34" s="18">
        <v>36.476957157644627</v>
      </c>
      <c r="AM34" s="18">
        <v>37.571265872373964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f t="shared" si="14"/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f t="shared" si="15"/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f t="shared" si="16"/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f t="shared" ref="AC35:AD35" si="21">AB35*(0.9)</f>
        <v>0</v>
      </c>
      <c r="AD35" s="18">
        <f t="shared" si="21"/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f t="shared" si="18"/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22">SUM(D35, D34, D33, D32, D31 + D30)</f>
        <v>12510</v>
      </c>
      <c r="E36" s="19">
        <f t="shared" ref="E36:O36" si="23">SUM(E35, E34, E33, E32, E31 + E30)</f>
        <v>12885.3</v>
      </c>
      <c r="F36" s="19">
        <f t="shared" si="23"/>
        <v>11596.77</v>
      </c>
      <c r="G36" s="19">
        <f t="shared" si="23"/>
        <v>11944.6731</v>
      </c>
      <c r="H36" s="19">
        <f t="shared" si="23"/>
        <v>12303.013293000002</v>
      </c>
      <c r="I36" s="19">
        <f t="shared" si="23"/>
        <v>12672.103691790002</v>
      </c>
      <c r="J36" s="19">
        <f t="shared" si="23"/>
        <v>13052.266802543701</v>
      </c>
      <c r="K36" s="19">
        <f t="shared" si="23"/>
        <v>13443.834806620012</v>
      </c>
      <c r="L36" s="19">
        <f t="shared" si="23"/>
        <v>13847.149850818612</v>
      </c>
      <c r="M36" s="19">
        <f t="shared" si="23"/>
        <v>14262.564346343173</v>
      </c>
      <c r="N36" s="19">
        <f t="shared" si="23"/>
        <v>14690.441276733469</v>
      </c>
      <c r="O36" s="19">
        <f t="shared" si="23"/>
        <v>13221.397149060123</v>
      </c>
      <c r="P36" s="19">
        <f t="shared" si="22"/>
        <v>13618.039063531927</v>
      </c>
      <c r="Q36" s="19">
        <f t="shared" si="22"/>
        <v>14026.580235437885</v>
      </c>
      <c r="R36" s="19">
        <f t="shared" si="22"/>
        <v>14447.377642501022</v>
      </c>
      <c r="S36" s="19">
        <f t="shared" si="22"/>
        <v>14880.798971776052</v>
      </c>
      <c r="T36" s="19">
        <f t="shared" si="22"/>
        <v>15327.222940929332</v>
      </c>
      <c r="U36" s="19">
        <f t="shared" si="22"/>
        <v>15787.039629157214</v>
      </c>
      <c r="V36" s="19">
        <f t="shared" si="22"/>
        <v>14208.335666241492</v>
      </c>
      <c r="W36" s="19">
        <f t="shared" si="22"/>
        <v>14634.585736228739</v>
      </c>
      <c r="X36" s="19">
        <f t="shared" si="22"/>
        <v>15073.6233083156</v>
      </c>
      <c r="Y36" s="19">
        <f t="shared" si="22"/>
        <v>15525.83200756507</v>
      </c>
      <c r="Z36" s="19">
        <f t="shared" si="22"/>
        <v>15991.60696779202</v>
      </c>
      <c r="AA36" s="19">
        <f t="shared" si="22"/>
        <v>16471.355176825782</v>
      </c>
      <c r="AB36" s="19">
        <f t="shared" si="22"/>
        <v>16965.495832130553</v>
      </c>
      <c r="AC36" s="19">
        <f t="shared" si="22"/>
        <v>15268.946248917498</v>
      </c>
      <c r="AD36" s="19">
        <f t="shared" si="22"/>
        <v>13742.051624025749</v>
      </c>
      <c r="AE36" s="19">
        <f t="shared" si="22"/>
        <v>14154.313172746522</v>
      </c>
      <c r="AF36" s="19">
        <f t="shared" si="22"/>
        <v>14578.942567928918</v>
      </c>
      <c r="AG36" s="19">
        <f t="shared" si="22"/>
        <v>15016.310844966785</v>
      </c>
      <c r="AH36" s="19">
        <f t="shared" si="22"/>
        <v>15466.80017031579</v>
      </c>
      <c r="AI36" s="19">
        <f t="shared" si="22"/>
        <v>13920.12015328421</v>
      </c>
      <c r="AJ36" s="19">
        <f t="shared" si="22"/>
        <v>14337.723757882737</v>
      </c>
      <c r="AK36" s="19">
        <f t="shared" si="22"/>
        <v>14767.855470619219</v>
      </c>
      <c r="AL36" s="19">
        <f t="shared" si="22"/>
        <v>15210.891134737794</v>
      </c>
      <c r="AM36" s="19">
        <f t="shared" si="22"/>
        <v>15667.217868779931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400</v>
      </c>
      <c r="E39" s="18">
        <v>412</v>
      </c>
      <c r="F39" s="18">
        <v>424.36</v>
      </c>
      <c r="G39" s="18">
        <v>437.0908</v>
      </c>
      <c r="H39" s="18">
        <v>450.20352400000002</v>
      </c>
      <c r="I39" s="18">
        <v>463.70962972000001</v>
      </c>
      <c r="J39" s="18">
        <v>477.62091861160002</v>
      </c>
      <c r="K39" s="18">
        <v>491.94954616994801</v>
      </c>
      <c r="L39" s="18">
        <v>506.70803255504649</v>
      </c>
      <c r="M39" s="18">
        <v>521.90927353169786</v>
      </c>
      <c r="N39" s="18">
        <v>537.56655173764887</v>
      </c>
      <c r="O39" s="18">
        <v>553.69354828977839</v>
      </c>
      <c r="P39" s="18">
        <v>570.30435473847172</v>
      </c>
      <c r="Q39" s="18">
        <v>587.41348538062584</v>
      </c>
      <c r="R39" s="18">
        <v>605.03588994204461</v>
      </c>
      <c r="S39" s="18">
        <v>623.18696664030597</v>
      </c>
      <c r="T39" s="18">
        <v>641.88257563951515</v>
      </c>
      <c r="U39" s="18">
        <v>661.13905290870059</v>
      </c>
      <c r="V39" s="18">
        <v>680.97322449596163</v>
      </c>
      <c r="W39" s="18">
        <v>701.40242123084045</v>
      </c>
      <c r="X39" s="18">
        <v>722.44449386776569</v>
      </c>
      <c r="Y39" s="18">
        <v>744.11782868379862</v>
      </c>
      <c r="Z39" s="18">
        <v>766.44136354431259</v>
      </c>
      <c r="AA39" s="18">
        <v>789.43460445064204</v>
      </c>
      <c r="AB39" s="18">
        <v>813.11764258416133</v>
      </c>
      <c r="AC39" s="18">
        <v>837.51117186168619</v>
      </c>
      <c r="AD39" s="18">
        <v>862.63650701753681</v>
      </c>
      <c r="AE39" s="18">
        <v>888.5156022280629</v>
      </c>
      <c r="AF39" s="18">
        <v>915.17107029490478</v>
      </c>
      <c r="AG39" s="18">
        <v>942.6262024037519</v>
      </c>
      <c r="AH39" s="18">
        <v>970.90498847586446</v>
      </c>
      <c r="AI39" s="18">
        <v>1000.0321381301404</v>
      </c>
      <c r="AJ39" s="18">
        <v>1030.0331022740447</v>
      </c>
      <c r="AK39" s="18">
        <v>1060.9340953422661</v>
      </c>
      <c r="AL39" s="18">
        <v>1092.7621182025341</v>
      </c>
      <c r="AM39" s="18">
        <v>1125.5449817486101</v>
      </c>
    </row>
    <row r="40" spans="2:39" s="17" customFormat="1" ht="21" customHeight="1" x14ac:dyDescent="0.3">
      <c r="B40" s="7" t="s">
        <v>38</v>
      </c>
      <c r="C40" s="15"/>
      <c r="D40" s="18">
        <v>250</v>
      </c>
      <c r="E40" s="18">
        <v>257.5</v>
      </c>
      <c r="F40" s="18">
        <v>265.22500000000002</v>
      </c>
      <c r="G40" s="18">
        <v>273.18175000000002</v>
      </c>
      <c r="H40" s="18">
        <v>281.37720250000001</v>
      </c>
      <c r="I40" s="18">
        <v>289.81851857500004</v>
      </c>
      <c r="J40" s="18">
        <v>298.51307413225004</v>
      </c>
      <c r="K40" s="18">
        <v>307.46846635621756</v>
      </c>
      <c r="L40" s="18">
        <v>316.69252034690408</v>
      </c>
      <c r="M40" s="18">
        <v>326.19329595731119</v>
      </c>
      <c r="N40" s="18">
        <v>335.97909483603053</v>
      </c>
      <c r="O40" s="18">
        <v>346.05846768111144</v>
      </c>
      <c r="P40" s="18">
        <v>356.44022171154478</v>
      </c>
      <c r="Q40" s="18">
        <v>367.13342836289115</v>
      </c>
      <c r="R40" s="18">
        <v>378.14743121377791</v>
      </c>
      <c r="S40" s="18">
        <v>389.49185415019127</v>
      </c>
      <c r="T40" s="18">
        <v>401.176609774697</v>
      </c>
      <c r="U40" s="18">
        <v>413.21190806793794</v>
      </c>
      <c r="V40" s="18">
        <v>425.6082653099761</v>
      </c>
      <c r="W40" s="18">
        <v>438.37651326927539</v>
      </c>
      <c r="X40" s="18">
        <v>451.52780866735367</v>
      </c>
      <c r="Y40" s="18">
        <v>465.07364292737429</v>
      </c>
      <c r="Z40" s="18">
        <v>479.02585221519553</v>
      </c>
      <c r="AA40" s="18">
        <v>493.39662778165143</v>
      </c>
      <c r="AB40" s="18">
        <v>508.198526615101</v>
      </c>
      <c r="AC40" s="18">
        <v>523.44448241355406</v>
      </c>
      <c r="AD40" s="18">
        <v>539.14781688596065</v>
      </c>
      <c r="AE40" s="18">
        <v>555.32225139253944</v>
      </c>
      <c r="AF40" s="18">
        <v>571.98191893431567</v>
      </c>
      <c r="AG40" s="18">
        <v>589.14137650234511</v>
      </c>
      <c r="AH40" s="18">
        <v>606.81561779741548</v>
      </c>
      <c r="AI40" s="18">
        <v>625.02008633133801</v>
      </c>
      <c r="AJ40" s="18">
        <v>643.77068892127818</v>
      </c>
      <c r="AK40" s="18">
        <v>663.08380958891655</v>
      </c>
      <c r="AL40" s="18">
        <v>682.97632387658405</v>
      </c>
      <c r="AM40" s="18">
        <v>703.4656135928816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257.5</v>
      </c>
      <c r="F41" s="18">
        <v>265.22500000000002</v>
      </c>
      <c r="G41" s="18">
        <v>273.18175000000002</v>
      </c>
      <c r="H41" s="18">
        <v>281.37720250000001</v>
      </c>
      <c r="I41" s="18">
        <v>289.81851857500004</v>
      </c>
      <c r="J41" s="18">
        <v>298.51307413225004</v>
      </c>
      <c r="K41" s="18">
        <v>307.46846635621756</v>
      </c>
      <c r="L41" s="18">
        <v>316.69252034690408</v>
      </c>
      <c r="M41" s="18">
        <v>326.19329595731119</v>
      </c>
      <c r="N41" s="18">
        <v>335.97909483603053</v>
      </c>
      <c r="O41" s="18">
        <v>346.05846768111144</v>
      </c>
      <c r="P41" s="18">
        <v>356.44022171154478</v>
      </c>
      <c r="Q41" s="18">
        <v>367.13342836289115</v>
      </c>
      <c r="R41" s="18">
        <v>378.14743121377791</v>
      </c>
      <c r="S41" s="18">
        <v>389.49185415019127</v>
      </c>
      <c r="T41" s="18">
        <v>401.176609774697</v>
      </c>
      <c r="U41" s="18">
        <v>413.21190806793794</v>
      </c>
      <c r="V41" s="18">
        <v>425.6082653099761</v>
      </c>
      <c r="W41" s="18">
        <v>438.37651326927539</v>
      </c>
      <c r="X41" s="18">
        <v>451.52780866735367</v>
      </c>
      <c r="Y41" s="18">
        <v>465.07364292737429</v>
      </c>
      <c r="Z41" s="18">
        <v>479.02585221519553</v>
      </c>
      <c r="AA41" s="18">
        <v>493.39662778165143</v>
      </c>
      <c r="AB41" s="18">
        <v>508.198526615101</v>
      </c>
      <c r="AC41" s="18">
        <v>523.44448241355406</v>
      </c>
      <c r="AD41" s="18">
        <v>539.14781688596065</v>
      </c>
      <c r="AE41" s="18">
        <v>555.32225139253944</v>
      </c>
      <c r="AF41" s="18">
        <v>571.98191893431567</v>
      </c>
      <c r="AG41" s="18">
        <v>589.14137650234511</v>
      </c>
      <c r="AH41" s="18">
        <v>606.81561779741548</v>
      </c>
      <c r="AI41" s="18">
        <v>625.02008633133801</v>
      </c>
      <c r="AJ41" s="18">
        <v>643.77068892127818</v>
      </c>
      <c r="AK41" s="18">
        <v>663.08380958891655</v>
      </c>
      <c r="AL41" s="18">
        <v>682.97632387658405</v>
      </c>
      <c r="AM41" s="18">
        <v>703.4656135928816</v>
      </c>
    </row>
    <row r="42" spans="2:39" s="17" customFormat="1" ht="21" customHeight="1" x14ac:dyDescent="0.3">
      <c r="B42" s="6" t="s">
        <v>40</v>
      </c>
      <c r="C42" s="15"/>
      <c r="D42" s="18">
        <f t="shared" ref="D42" si="24">SUM(D41, D40, D39 + D38)</f>
        <v>900</v>
      </c>
      <c r="E42" s="18">
        <v>900</v>
      </c>
      <c r="F42" s="18">
        <v>900</v>
      </c>
      <c r="G42" s="18">
        <v>900</v>
      </c>
      <c r="H42" s="18">
        <v>900</v>
      </c>
      <c r="I42" s="18">
        <v>900</v>
      </c>
      <c r="J42" s="18">
        <v>900</v>
      </c>
      <c r="K42" s="18">
        <v>900</v>
      </c>
      <c r="L42" s="18">
        <v>900</v>
      </c>
      <c r="M42" s="18">
        <v>900</v>
      </c>
      <c r="N42" s="18">
        <v>900</v>
      </c>
      <c r="O42" s="18">
        <v>900</v>
      </c>
      <c r="P42" s="18">
        <v>900</v>
      </c>
      <c r="Q42" s="18">
        <v>900</v>
      </c>
      <c r="R42" s="18">
        <v>900</v>
      </c>
      <c r="S42" s="18">
        <v>900</v>
      </c>
      <c r="T42" s="18">
        <v>900</v>
      </c>
      <c r="U42" s="18">
        <v>900</v>
      </c>
      <c r="V42" s="18">
        <v>900</v>
      </c>
      <c r="W42" s="18">
        <v>900</v>
      </c>
      <c r="X42" s="18">
        <v>900</v>
      </c>
      <c r="Y42" s="18">
        <v>900</v>
      </c>
      <c r="Z42" s="18">
        <v>900</v>
      </c>
      <c r="AA42" s="18">
        <v>900</v>
      </c>
      <c r="AB42" s="18">
        <v>900</v>
      </c>
      <c r="AC42" s="18">
        <v>900</v>
      </c>
      <c r="AD42" s="18">
        <v>900</v>
      </c>
      <c r="AE42" s="18">
        <v>900</v>
      </c>
      <c r="AF42" s="18">
        <v>900</v>
      </c>
      <c r="AG42" s="18">
        <v>900</v>
      </c>
      <c r="AH42" s="18">
        <v>900</v>
      </c>
      <c r="AI42" s="18">
        <v>900</v>
      </c>
      <c r="AJ42" s="18">
        <v>900</v>
      </c>
      <c r="AK42" s="18">
        <v>900</v>
      </c>
      <c r="AL42" s="18">
        <v>900</v>
      </c>
      <c r="AM42" s="18">
        <v>900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25">SUM(D41, D40, D39, D38, D37, D35, D34, D33, D32, D31, D30, D28, D27, D26, D25, D24, D22, D21, D20, D19, D18, D17, D16, D15, D14 + D13)</f>
        <v>19060</v>
      </c>
      <c r="E43" s="19">
        <f t="shared" ref="E43:O43" si="26">SUM(E41, E40, E39, E38, E37, E35, E34, E33, E32, E31, E30, E28, E27, E26, E25, E24, E22, E21, E20, E19, E18, E17, E16, E15, E14 + E13)</f>
        <v>19631.8</v>
      </c>
      <c r="F43" s="19">
        <f t="shared" si="26"/>
        <v>18197.525000000001</v>
      </c>
      <c r="G43" s="19">
        <f t="shared" si="26"/>
        <v>18743.45075</v>
      </c>
      <c r="H43" s="19">
        <f t="shared" si="26"/>
        <v>19021.645252500002</v>
      </c>
      <c r="I43" s="19">
        <f t="shared" si="26"/>
        <v>19592.294610075001</v>
      </c>
      <c r="J43" s="19">
        <f t="shared" si="26"/>
        <v>19837.683668375252</v>
      </c>
      <c r="K43" s="19">
        <f t="shared" si="26"/>
        <v>20124.672376424711</v>
      </c>
      <c r="L43" s="19">
        <f t="shared" si="26"/>
        <v>20728.412547717449</v>
      </c>
      <c r="M43" s="19">
        <f t="shared" si="26"/>
        <v>21350.264924148978</v>
      </c>
      <c r="N43" s="19">
        <f t="shared" si="26"/>
        <v>21990.772871873447</v>
      </c>
      <c r="O43" s="19">
        <f t="shared" si="26"/>
        <v>20435.42176703826</v>
      </c>
      <c r="P43" s="19">
        <f t="shared" si="25"/>
        <v>21048.484420049404</v>
      </c>
      <c r="Q43" s="19">
        <f t="shared" si="25"/>
        <v>21358.440230608994</v>
      </c>
      <c r="R43" s="19">
        <f t="shared" si="25"/>
        <v>21709.84458768956</v>
      </c>
      <c r="S43" s="19">
        <f t="shared" si="25"/>
        <v>22361.139925320247</v>
      </c>
      <c r="T43" s="19">
        <f t="shared" si="25"/>
        <v>22722.700923026954</v>
      </c>
      <c r="U43" s="19">
        <f t="shared" si="25"/>
        <v>23128.108775404224</v>
      </c>
      <c r="V43" s="19">
        <f t="shared" si="25"/>
        <v>21769.636886875916</v>
      </c>
      <c r="W43" s="19">
        <f t="shared" si="25"/>
        <v>22422.725993482189</v>
      </c>
      <c r="X43" s="19">
        <f t="shared" si="25"/>
        <v>23095.407773286661</v>
      </c>
      <c r="Y43" s="19">
        <f t="shared" si="25"/>
        <v>23516.567964248512</v>
      </c>
      <c r="Z43" s="19">
        <f t="shared" si="25"/>
        <v>24222.065003175961</v>
      </c>
      <c r="AA43" s="19">
        <f t="shared" si="25"/>
        <v>24616.367415971006</v>
      </c>
      <c r="AB43" s="19">
        <f t="shared" si="25"/>
        <v>25354.858438450141</v>
      </c>
      <c r="AC43" s="19">
        <f t="shared" si="25"/>
        <v>23642.783191670151</v>
      </c>
      <c r="AD43" s="19">
        <f t="shared" si="25"/>
        <v>22367.103675060986</v>
      </c>
      <c r="AE43" s="19">
        <f t="shared" si="25"/>
        <v>22711.256369208892</v>
      </c>
      <c r="AF43" s="19">
        <f t="shared" si="25"/>
        <v>23392.594060285155</v>
      </c>
      <c r="AG43" s="19">
        <f t="shared" si="25"/>
        <v>24094.371882093707</v>
      </c>
      <c r="AH43" s="19">
        <f t="shared" si="25"/>
        <v>24234.4444595034</v>
      </c>
      <c r="AI43" s="19">
        <f t="shared" si="25"/>
        <v>22426.31104999964</v>
      </c>
      <c r="AJ43" s="19">
        <f t="shared" si="25"/>
        <v>23099.100381499629</v>
      </c>
      <c r="AK43" s="19">
        <f t="shared" si="25"/>
        <v>23792.073392944614</v>
      </c>
      <c r="AL43" s="19">
        <f t="shared" si="25"/>
        <v>24273.241886390475</v>
      </c>
      <c r="AM43" s="19">
        <f t="shared" si="25"/>
        <v>24792.104805473951</v>
      </c>
    </row>
    <row r="44" spans="2:39" s="21" customFormat="1" ht="21" customHeight="1" x14ac:dyDescent="0.3">
      <c r="B44" s="5" t="s">
        <v>42</v>
      </c>
      <c r="C44" s="22"/>
      <c r="D44" s="23">
        <f t="shared" ref="D44:AM44" si="27">D12-D43</f>
        <v>-19060</v>
      </c>
      <c r="E44" s="23">
        <f t="shared" ref="E44:O44" si="28">E12-E43</f>
        <v>-19631.8</v>
      </c>
      <c r="F44" s="23">
        <f t="shared" si="28"/>
        <v>-18197.525000000001</v>
      </c>
      <c r="G44" s="23">
        <f t="shared" si="28"/>
        <v>-18743.45075</v>
      </c>
      <c r="H44" s="23">
        <f t="shared" si="28"/>
        <v>-19021.645252500002</v>
      </c>
      <c r="I44" s="23">
        <f t="shared" si="28"/>
        <v>-19592.294610075001</v>
      </c>
      <c r="J44" s="23">
        <f t="shared" si="28"/>
        <v>-19837.683668375252</v>
      </c>
      <c r="K44" s="23">
        <f t="shared" si="28"/>
        <v>-20124.672376424711</v>
      </c>
      <c r="L44" s="23">
        <f t="shared" si="28"/>
        <v>-20728.412547717449</v>
      </c>
      <c r="M44" s="23">
        <f t="shared" si="28"/>
        <v>-21350.264924148978</v>
      </c>
      <c r="N44" s="23">
        <f t="shared" si="28"/>
        <v>-21990.772871873447</v>
      </c>
      <c r="O44" s="23">
        <f t="shared" si="28"/>
        <v>-20435.42176703826</v>
      </c>
      <c r="P44" s="23">
        <f t="shared" si="27"/>
        <v>-21048.484420049404</v>
      </c>
      <c r="Q44" s="23">
        <f t="shared" si="27"/>
        <v>-21358.440230608994</v>
      </c>
      <c r="R44" s="23">
        <f t="shared" si="27"/>
        <v>-21709.84458768956</v>
      </c>
      <c r="S44" s="23">
        <f t="shared" si="27"/>
        <v>-22361.139925320247</v>
      </c>
      <c r="T44" s="23">
        <f t="shared" si="27"/>
        <v>-22722.700923026954</v>
      </c>
      <c r="U44" s="23">
        <f t="shared" si="27"/>
        <v>-23128.108775404224</v>
      </c>
      <c r="V44" s="23">
        <f t="shared" si="27"/>
        <v>-21769.636886875916</v>
      </c>
      <c r="W44" s="23">
        <f t="shared" si="27"/>
        <v>-22422.725993482189</v>
      </c>
      <c r="X44" s="23">
        <f t="shared" si="27"/>
        <v>-23095.407773286661</v>
      </c>
      <c r="Y44" s="23">
        <f t="shared" si="27"/>
        <v>-23516.567964248512</v>
      </c>
      <c r="Z44" s="23">
        <f t="shared" si="27"/>
        <v>-24222.065003175961</v>
      </c>
      <c r="AA44" s="23">
        <f t="shared" si="27"/>
        <v>-24616.367415971006</v>
      </c>
      <c r="AB44" s="23">
        <f t="shared" si="27"/>
        <v>-25354.858438450141</v>
      </c>
      <c r="AC44" s="23">
        <f t="shared" si="27"/>
        <v>-23642.783191670151</v>
      </c>
      <c r="AD44" s="23">
        <f t="shared" si="27"/>
        <v>-22367.103675060986</v>
      </c>
      <c r="AE44" s="23">
        <f t="shared" si="27"/>
        <v>-22711.256369208892</v>
      </c>
      <c r="AF44" s="23">
        <f t="shared" si="27"/>
        <v>-23392.594060285155</v>
      </c>
      <c r="AG44" s="23">
        <f t="shared" si="27"/>
        <v>-24094.371882093707</v>
      </c>
      <c r="AH44" s="23">
        <f t="shared" si="27"/>
        <v>-24234.4444595034</v>
      </c>
      <c r="AI44" s="23">
        <f t="shared" si="27"/>
        <v>-22426.31104999964</v>
      </c>
      <c r="AJ44" s="23">
        <f t="shared" si="27"/>
        <v>-23099.100381499629</v>
      </c>
      <c r="AK44" s="23">
        <f t="shared" si="27"/>
        <v>-23792.073392944614</v>
      </c>
      <c r="AL44" s="23">
        <f t="shared" si="27"/>
        <v>-24273.241886390475</v>
      </c>
      <c r="AM44" s="23">
        <f t="shared" si="27"/>
        <v>-24792.104805473951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Y47" si="29">SUM(D46 + D45)</f>
        <v>0</v>
      </c>
      <c r="E47" s="19">
        <f t="shared" ref="E47:O47" si="30">SUM(E46 + E45)</f>
        <v>0</v>
      </c>
      <c r="F47" s="19">
        <f t="shared" si="30"/>
        <v>0</v>
      </c>
      <c r="G47" s="19">
        <f t="shared" si="30"/>
        <v>0</v>
      </c>
      <c r="H47" s="19">
        <f t="shared" si="30"/>
        <v>0</v>
      </c>
      <c r="I47" s="19">
        <f t="shared" si="30"/>
        <v>0</v>
      </c>
      <c r="J47" s="19">
        <f t="shared" si="30"/>
        <v>0</v>
      </c>
      <c r="K47" s="19">
        <f t="shared" si="30"/>
        <v>0</v>
      </c>
      <c r="L47" s="19">
        <f t="shared" si="30"/>
        <v>0</v>
      </c>
      <c r="M47" s="19">
        <f t="shared" si="30"/>
        <v>0</v>
      </c>
      <c r="N47" s="19">
        <f t="shared" si="30"/>
        <v>0</v>
      </c>
      <c r="O47" s="19">
        <f t="shared" si="30"/>
        <v>0</v>
      </c>
      <c r="P47" s="19">
        <f t="shared" si="29"/>
        <v>0</v>
      </c>
      <c r="Q47" s="19">
        <f t="shared" si="29"/>
        <v>0</v>
      </c>
      <c r="R47" s="19">
        <f t="shared" si="29"/>
        <v>0</v>
      </c>
      <c r="S47" s="19">
        <f t="shared" si="29"/>
        <v>0</v>
      </c>
      <c r="T47" s="19">
        <f t="shared" si="29"/>
        <v>0</v>
      </c>
      <c r="U47" s="19">
        <f t="shared" si="29"/>
        <v>0</v>
      </c>
      <c r="V47" s="19">
        <f t="shared" si="29"/>
        <v>0</v>
      </c>
      <c r="W47" s="19">
        <f t="shared" si="29"/>
        <v>0</v>
      </c>
      <c r="X47" s="19">
        <f t="shared" si="29"/>
        <v>0</v>
      </c>
      <c r="Y47" s="19">
        <f t="shared" si="29"/>
        <v>0</v>
      </c>
      <c r="Z47" s="19">
        <f>SUM(Z46 + Z45)</f>
        <v>0</v>
      </c>
      <c r="AA47" s="19">
        <f t="shared" ref="AA47:AM47" si="31">SUM(AA46 + AA45)</f>
        <v>0</v>
      </c>
      <c r="AB47" s="19">
        <f t="shared" si="31"/>
        <v>0</v>
      </c>
      <c r="AC47" s="19">
        <f t="shared" si="31"/>
        <v>0</v>
      </c>
      <c r="AD47" s="19">
        <f t="shared" si="31"/>
        <v>0</v>
      </c>
      <c r="AE47" s="19">
        <f t="shared" si="31"/>
        <v>0</v>
      </c>
      <c r="AF47" s="19">
        <f t="shared" si="31"/>
        <v>0</v>
      </c>
      <c r="AG47" s="19">
        <f t="shared" si="31"/>
        <v>0</v>
      </c>
      <c r="AH47" s="19">
        <f t="shared" si="31"/>
        <v>0</v>
      </c>
      <c r="AI47" s="19">
        <f t="shared" si="31"/>
        <v>0</v>
      </c>
      <c r="AJ47" s="19">
        <f t="shared" si="31"/>
        <v>0</v>
      </c>
      <c r="AK47" s="19">
        <f t="shared" si="31"/>
        <v>0</v>
      </c>
      <c r="AL47" s="19">
        <f t="shared" si="31"/>
        <v>0</v>
      </c>
      <c r="AM47" s="19">
        <f t="shared" si="31"/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32">SUM(D50, D49 + D48)</f>
        <v>0</v>
      </c>
      <c r="E51" s="19">
        <f t="shared" ref="E51:O51" si="33">SUM(E50, E49 + E48)</f>
        <v>0</v>
      </c>
      <c r="F51" s="19">
        <f t="shared" si="33"/>
        <v>0</v>
      </c>
      <c r="G51" s="19">
        <f t="shared" si="33"/>
        <v>0</v>
      </c>
      <c r="H51" s="19">
        <f t="shared" si="33"/>
        <v>0</v>
      </c>
      <c r="I51" s="19">
        <f t="shared" si="33"/>
        <v>0</v>
      </c>
      <c r="J51" s="19">
        <f t="shared" si="33"/>
        <v>0</v>
      </c>
      <c r="K51" s="19">
        <f t="shared" si="33"/>
        <v>0</v>
      </c>
      <c r="L51" s="19">
        <f t="shared" si="33"/>
        <v>0</v>
      </c>
      <c r="M51" s="19">
        <f t="shared" si="33"/>
        <v>0</v>
      </c>
      <c r="N51" s="19">
        <f t="shared" si="33"/>
        <v>0</v>
      </c>
      <c r="O51" s="19">
        <f t="shared" si="33"/>
        <v>0</v>
      </c>
      <c r="P51" s="19">
        <f t="shared" si="32"/>
        <v>0</v>
      </c>
      <c r="Q51" s="19">
        <f t="shared" si="32"/>
        <v>0</v>
      </c>
      <c r="R51" s="19">
        <f t="shared" si="32"/>
        <v>0</v>
      </c>
      <c r="S51" s="19">
        <f t="shared" si="32"/>
        <v>0</v>
      </c>
      <c r="T51" s="19">
        <f t="shared" si="32"/>
        <v>0</v>
      </c>
      <c r="U51" s="19">
        <f t="shared" si="32"/>
        <v>0</v>
      </c>
      <c r="V51" s="19">
        <f t="shared" si="32"/>
        <v>0</v>
      </c>
      <c r="W51" s="19">
        <f t="shared" si="32"/>
        <v>0</v>
      </c>
      <c r="X51" s="19">
        <f t="shared" si="32"/>
        <v>0</v>
      </c>
      <c r="Y51" s="19">
        <f t="shared" si="32"/>
        <v>0</v>
      </c>
      <c r="Z51" s="19">
        <f t="shared" si="32"/>
        <v>0</v>
      </c>
      <c r="AA51" s="19">
        <f t="shared" si="32"/>
        <v>0</v>
      </c>
      <c r="AB51" s="19">
        <f t="shared" si="32"/>
        <v>0</v>
      </c>
      <c r="AC51" s="19">
        <f t="shared" si="32"/>
        <v>0</v>
      </c>
      <c r="AD51" s="19">
        <f t="shared" si="32"/>
        <v>0</v>
      </c>
      <c r="AE51" s="19">
        <f t="shared" si="32"/>
        <v>0</v>
      </c>
      <c r="AF51" s="19">
        <f t="shared" si="32"/>
        <v>0</v>
      </c>
      <c r="AG51" s="19">
        <f t="shared" si="32"/>
        <v>0</v>
      </c>
      <c r="AH51" s="19">
        <f t="shared" si="32"/>
        <v>0</v>
      </c>
      <c r="AI51" s="19">
        <f t="shared" si="32"/>
        <v>0</v>
      </c>
      <c r="AJ51" s="19">
        <f t="shared" si="32"/>
        <v>0</v>
      </c>
      <c r="AK51" s="19">
        <f t="shared" si="32"/>
        <v>0</v>
      </c>
      <c r="AL51" s="19">
        <f t="shared" si="32"/>
        <v>0</v>
      </c>
      <c r="AM51" s="19">
        <f t="shared" si="32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34">D47-D51</f>
        <v>0</v>
      </c>
      <c r="E52" s="23">
        <f t="shared" ref="E52:O52" si="35">E47-E51</f>
        <v>0</v>
      </c>
      <c r="F52" s="23">
        <f t="shared" si="35"/>
        <v>0</v>
      </c>
      <c r="G52" s="23">
        <f t="shared" si="35"/>
        <v>0</v>
      </c>
      <c r="H52" s="23">
        <f t="shared" si="35"/>
        <v>0</v>
      </c>
      <c r="I52" s="23">
        <f t="shared" si="35"/>
        <v>0</v>
      </c>
      <c r="J52" s="23">
        <f t="shared" si="35"/>
        <v>0</v>
      </c>
      <c r="K52" s="23">
        <f t="shared" si="35"/>
        <v>0</v>
      </c>
      <c r="L52" s="23">
        <f t="shared" si="35"/>
        <v>0</v>
      </c>
      <c r="M52" s="23">
        <f t="shared" si="35"/>
        <v>0</v>
      </c>
      <c r="N52" s="23">
        <f t="shared" si="35"/>
        <v>0</v>
      </c>
      <c r="O52" s="23">
        <f t="shared" si="35"/>
        <v>0</v>
      </c>
      <c r="P52" s="23">
        <f t="shared" si="34"/>
        <v>0</v>
      </c>
      <c r="Q52" s="23">
        <f t="shared" si="34"/>
        <v>0</v>
      </c>
      <c r="R52" s="23">
        <f t="shared" si="34"/>
        <v>0</v>
      </c>
      <c r="S52" s="23">
        <f t="shared" si="34"/>
        <v>0</v>
      </c>
      <c r="T52" s="23">
        <f t="shared" si="34"/>
        <v>0</v>
      </c>
      <c r="U52" s="23">
        <f t="shared" si="34"/>
        <v>0</v>
      </c>
      <c r="V52" s="23">
        <f t="shared" si="34"/>
        <v>0</v>
      </c>
      <c r="W52" s="23">
        <f t="shared" si="34"/>
        <v>0</v>
      </c>
      <c r="X52" s="23">
        <f t="shared" si="34"/>
        <v>0</v>
      </c>
      <c r="Y52" s="23">
        <f t="shared" si="34"/>
        <v>0</v>
      </c>
      <c r="Z52" s="23">
        <f t="shared" si="34"/>
        <v>0</v>
      </c>
      <c r="AA52" s="23">
        <f t="shared" si="34"/>
        <v>0</v>
      </c>
      <c r="AB52" s="23">
        <f t="shared" si="34"/>
        <v>0</v>
      </c>
      <c r="AC52" s="23">
        <f t="shared" si="34"/>
        <v>0</v>
      </c>
      <c r="AD52" s="23">
        <f t="shared" si="34"/>
        <v>0</v>
      </c>
      <c r="AE52" s="23">
        <f t="shared" si="34"/>
        <v>0</v>
      </c>
      <c r="AF52" s="23">
        <f t="shared" si="34"/>
        <v>0</v>
      </c>
      <c r="AG52" s="23">
        <f t="shared" si="34"/>
        <v>0</v>
      </c>
      <c r="AH52" s="23">
        <f t="shared" si="34"/>
        <v>0</v>
      </c>
      <c r="AI52" s="23">
        <f t="shared" si="34"/>
        <v>0</v>
      </c>
      <c r="AJ52" s="23">
        <f t="shared" si="34"/>
        <v>0</v>
      </c>
      <c r="AK52" s="23">
        <f t="shared" si="34"/>
        <v>0</v>
      </c>
      <c r="AL52" s="23">
        <f t="shared" si="34"/>
        <v>0</v>
      </c>
      <c r="AM52" s="23">
        <f t="shared" si="34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36">D44+D52</f>
        <v>-19060</v>
      </c>
      <c r="E53" s="23">
        <f t="shared" ref="E53:O53" si="37">E44+E52</f>
        <v>-19631.8</v>
      </c>
      <c r="F53" s="23">
        <f t="shared" si="37"/>
        <v>-18197.525000000001</v>
      </c>
      <c r="G53" s="23">
        <f t="shared" si="37"/>
        <v>-18743.45075</v>
      </c>
      <c r="H53" s="23">
        <f t="shared" si="37"/>
        <v>-19021.645252500002</v>
      </c>
      <c r="I53" s="23">
        <f t="shared" si="37"/>
        <v>-19592.294610075001</v>
      </c>
      <c r="J53" s="23">
        <f t="shared" si="37"/>
        <v>-19837.683668375252</v>
      </c>
      <c r="K53" s="23">
        <f t="shared" si="37"/>
        <v>-20124.672376424711</v>
      </c>
      <c r="L53" s="23">
        <f t="shared" si="37"/>
        <v>-20728.412547717449</v>
      </c>
      <c r="M53" s="23">
        <f t="shared" si="37"/>
        <v>-21350.264924148978</v>
      </c>
      <c r="N53" s="23">
        <f t="shared" si="37"/>
        <v>-21990.772871873447</v>
      </c>
      <c r="O53" s="23">
        <f t="shared" si="37"/>
        <v>-20435.42176703826</v>
      </c>
      <c r="P53" s="23">
        <f t="shared" si="36"/>
        <v>-21048.484420049404</v>
      </c>
      <c r="Q53" s="23">
        <f t="shared" si="36"/>
        <v>-21358.440230608994</v>
      </c>
      <c r="R53" s="23">
        <f t="shared" si="36"/>
        <v>-21709.84458768956</v>
      </c>
      <c r="S53" s="23">
        <f t="shared" si="36"/>
        <v>-22361.139925320247</v>
      </c>
      <c r="T53" s="23">
        <f t="shared" si="36"/>
        <v>-22722.700923026954</v>
      </c>
      <c r="U53" s="23">
        <f t="shared" si="36"/>
        <v>-23128.108775404224</v>
      </c>
      <c r="V53" s="23">
        <f t="shared" si="36"/>
        <v>-21769.636886875916</v>
      </c>
      <c r="W53" s="23">
        <f t="shared" si="36"/>
        <v>-22422.725993482189</v>
      </c>
      <c r="X53" s="23">
        <f t="shared" si="36"/>
        <v>-23095.407773286661</v>
      </c>
      <c r="Y53" s="23">
        <f t="shared" si="36"/>
        <v>-23516.567964248512</v>
      </c>
      <c r="Z53" s="23">
        <f t="shared" si="36"/>
        <v>-24222.065003175961</v>
      </c>
      <c r="AA53" s="23">
        <f t="shared" si="36"/>
        <v>-24616.367415971006</v>
      </c>
      <c r="AB53" s="23">
        <f t="shared" si="36"/>
        <v>-25354.858438450141</v>
      </c>
      <c r="AC53" s="23">
        <f t="shared" si="36"/>
        <v>-23642.783191670151</v>
      </c>
      <c r="AD53" s="23">
        <f t="shared" si="36"/>
        <v>-22367.103675060986</v>
      </c>
      <c r="AE53" s="23">
        <f t="shared" si="36"/>
        <v>-22711.256369208892</v>
      </c>
      <c r="AF53" s="23">
        <f t="shared" si="36"/>
        <v>-23392.594060285155</v>
      </c>
      <c r="AG53" s="23">
        <f t="shared" si="36"/>
        <v>-24094.371882093707</v>
      </c>
      <c r="AH53" s="23">
        <f t="shared" si="36"/>
        <v>-24234.4444595034</v>
      </c>
      <c r="AI53" s="23">
        <f t="shared" si="36"/>
        <v>-22426.31104999964</v>
      </c>
      <c r="AJ53" s="23">
        <f t="shared" si="36"/>
        <v>-23099.100381499629</v>
      </c>
      <c r="AK53" s="23">
        <f t="shared" si="36"/>
        <v>-23792.073392944614</v>
      </c>
      <c r="AL53" s="23">
        <f t="shared" si="36"/>
        <v>-24273.241886390475</v>
      </c>
      <c r="AM53" s="23">
        <f t="shared" si="36"/>
        <v>-24792.104805473951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1C906DC0-ED9F-426C-AF4A-D600057D7499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9787-3768-4A9C-99CE-3CD62696D5B3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55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650</v>
      </c>
      <c r="E16" s="18">
        <v>669.5</v>
      </c>
      <c r="F16" s="18">
        <v>689.58500000000004</v>
      </c>
      <c r="G16" s="18">
        <f>F16*(0.92)</f>
        <v>634.41820000000007</v>
      </c>
      <c r="H16" s="18">
        <v>653.45074600000009</v>
      </c>
      <c r="I16" s="18">
        <v>673.05426838000017</v>
      </c>
      <c r="J16" s="18">
        <v>693.24589643140018</v>
      </c>
      <c r="K16" s="18">
        <v>714.04327332434218</v>
      </c>
      <c r="L16" s="18">
        <v>735.46457152407243</v>
      </c>
      <c r="M16" s="18">
        <v>757.52850866979463</v>
      </c>
      <c r="N16" s="18">
        <v>780.25436392988854</v>
      </c>
      <c r="O16" s="18">
        <f>N16*(0.92)</f>
        <v>717.83401481549754</v>
      </c>
      <c r="P16" s="18">
        <v>739.36903525996252</v>
      </c>
      <c r="Q16" s="18">
        <v>761.55010631776145</v>
      </c>
      <c r="R16" s="18">
        <v>784.39660950729433</v>
      </c>
      <c r="S16" s="18">
        <v>807.92850779251319</v>
      </c>
      <c r="T16" s="18">
        <v>832.16636302628865</v>
      </c>
      <c r="U16" s="18">
        <f t="shared" ref="U16:V16" si="41">T16*(0.92)</f>
        <v>765.59305398418564</v>
      </c>
      <c r="V16" s="18">
        <f t="shared" si="41"/>
        <v>704.34560966545087</v>
      </c>
      <c r="W16" s="18">
        <v>725.47597795541446</v>
      </c>
      <c r="X16" s="18">
        <v>747.24025729407697</v>
      </c>
      <c r="Y16" s="18">
        <f t="shared" ref="Y16:Z16" si="42">X16*(0.92)</f>
        <v>687.46103671055084</v>
      </c>
      <c r="Z16" s="18">
        <f t="shared" si="42"/>
        <v>632.46415377370681</v>
      </c>
      <c r="AA16" s="18">
        <v>651.43807838691805</v>
      </c>
      <c r="AB16" s="18">
        <v>670.98122073852562</v>
      </c>
      <c r="AC16" s="18">
        <f t="shared" ref="AC16:AD16" si="43">AB16*(0.92)</f>
        <v>617.30272307944358</v>
      </c>
      <c r="AD16" s="18">
        <f t="shared" si="43"/>
        <v>567.91850523308813</v>
      </c>
      <c r="AE16" s="18">
        <v>584.95606039008078</v>
      </c>
      <c r="AF16" s="18">
        <v>602.50474220178319</v>
      </c>
      <c r="AG16" s="18">
        <v>620.57988446783668</v>
      </c>
      <c r="AH16" s="18">
        <v>639.19728100187183</v>
      </c>
      <c r="AI16" s="18">
        <v>658.37319943192801</v>
      </c>
      <c r="AJ16" s="18">
        <f>AI16*(0.92)</f>
        <v>605.70334347737378</v>
      </c>
      <c r="AK16" s="18">
        <v>623.87444378169505</v>
      </c>
      <c r="AL16" s="18">
        <v>642.59067709514591</v>
      </c>
      <c r="AM16" s="18">
        <v>661.86839740800031</v>
      </c>
    </row>
    <row r="17" spans="2:39" s="17" customFormat="1" ht="21" customHeight="1" x14ac:dyDescent="0.3">
      <c r="B17" s="4" t="s">
        <v>15</v>
      </c>
      <c r="C17" s="15"/>
      <c r="D17" s="18">
        <v>2500</v>
      </c>
      <c r="E17" s="18">
        <v>2575</v>
      </c>
      <c r="F17" s="18">
        <v>2652.25</v>
      </c>
      <c r="G17" s="18">
        <v>2731.8175000000001</v>
      </c>
      <c r="H17" s="18">
        <f t="shared" ref="H17:I17" si="44">G17*(0.92)</f>
        <v>2513.2721000000001</v>
      </c>
      <c r="I17" s="18">
        <f t="shared" si="44"/>
        <v>2312.2103320000001</v>
      </c>
      <c r="J17" s="18">
        <v>2381.57664196</v>
      </c>
      <c r="K17" s="18">
        <v>2453.0239412188002</v>
      </c>
      <c r="L17" s="18">
        <v>2526.6146594553643</v>
      </c>
      <c r="M17" s="18">
        <v>2602.4130992390251</v>
      </c>
      <c r="N17" s="18">
        <v>2680.4854922161958</v>
      </c>
      <c r="O17" s="18">
        <v>2760.9000569826817</v>
      </c>
      <c r="P17" s="18">
        <v>2843.7270586921622</v>
      </c>
      <c r="Q17" s="18">
        <v>2929.0388704529273</v>
      </c>
      <c r="R17" s="18">
        <f t="shared" ref="R17:S17" si="45">Q17*(0.92)</f>
        <v>2694.7157608166931</v>
      </c>
      <c r="S17" s="18">
        <f t="shared" si="45"/>
        <v>2479.138499951358</v>
      </c>
      <c r="T17" s="18">
        <v>2553.5126549498987</v>
      </c>
      <c r="U17" s="18">
        <v>2630.1180345983958</v>
      </c>
      <c r="V17" s="18">
        <v>2709.0215756363477</v>
      </c>
      <c r="W17" s="18">
        <v>2790.2922229054384</v>
      </c>
      <c r="X17" s="18">
        <v>2874.0009895926014</v>
      </c>
      <c r="Y17" s="18">
        <v>2960.2210192803796</v>
      </c>
      <c r="Z17" s="18">
        <v>3049.0276498587909</v>
      </c>
      <c r="AA17" s="18">
        <v>3140.4984793545545</v>
      </c>
      <c r="AB17" s="18">
        <f t="shared" ref="AB17:AC17" si="46">AA17*(0.92)</f>
        <v>2889.2586010061905</v>
      </c>
      <c r="AC17" s="18">
        <f t="shared" si="46"/>
        <v>2658.1179129256952</v>
      </c>
      <c r="AD17" s="18">
        <v>2737.8614503134663</v>
      </c>
      <c r="AE17" s="18">
        <v>2819.9972938228702</v>
      </c>
      <c r="AF17" s="18">
        <v>2904.5972126375564</v>
      </c>
      <c r="AG17" s="18">
        <v>2991.735129016683</v>
      </c>
      <c r="AH17" s="18">
        <f>AG17*(0.92)</f>
        <v>2752.3963186953483</v>
      </c>
      <c r="AI17" s="18">
        <v>2834.968208256209</v>
      </c>
      <c r="AJ17" s="18">
        <v>2920.0172545038954</v>
      </c>
      <c r="AK17" s="18">
        <v>3007.6177721390122</v>
      </c>
      <c r="AL17" s="18">
        <v>3097.8463053031828</v>
      </c>
      <c r="AM17" s="18">
        <v>3190.7816944622782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250</v>
      </c>
      <c r="E20" s="18">
        <v>257.5</v>
      </c>
      <c r="F20" s="18">
        <f t="shared" ref="F20:G20" si="47">E20*(0.92)</f>
        <v>236.9</v>
      </c>
      <c r="G20" s="18">
        <f t="shared" si="47"/>
        <v>217.94800000000001</v>
      </c>
      <c r="H20" s="18">
        <v>224.48644000000002</v>
      </c>
      <c r="I20" s="18">
        <v>231.22103320000002</v>
      </c>
      <c r="J20" s="18">
        <v>238.15766419600004</v>
      </c>
      <c r="K20" s="18">
        <v>245.30239412188004</v>
      </c>
      <c r="L20" s="18">
        <v>252.66146594553646</v>
      </c>
      <c r="M20" s="18">
        <v>260.24130992390258</v>
      </c>
      <c r="N20" s="18">
        <v>268.04854922161968</v>
      </c>
      <c r="O20" s="18">
        <v>276.09000569826827</v>
      </c>
      <c r="P20" s="18">
        <v>284.3727058692163</v>
      </c>
      <c r="Q20" s="18">
        <v>292.90388704529278</v>
      </c>
      <c r="R20" s="18">
        <v>301.69100365665156</v>
      </c>
      <c r="S20" s="18">
        <v>310.7417337663511</v>
      </c>
      <c r="T20" s="18">
        <v>320.06398577934164</v>
      </c>
      <c r="U20" s="18">
        <v>329.66590535272189</v>
      </c>
      <c r="V20" s="18">
        <v>339.55588251330357</v>
      </c>
      <c r="W20" s="18">
        <v>349.74255898870268</v>
      </c>
      <c r="X20" s="18">
        <v>360.23483575836377</v>
      </c>
      <c r="Y20" s="18">
        <v>371.04188083111467</v>
      </c>
      <c r="Z20" s="18">
        <v>382.17313725604811</v>
      </c>
      <c r="AA20" s="18">
        <v>393.63833137372956</v>
      </c>
      <c r="AB20" s="18">
        <v>405.44748131494146</v>
      </c>
      <c r="AC20" s="18">
        <v>417.61090575438971</v>
      </c>
      <c r="AD20" s="18">
        <v>430.1392329270214</v>
      </c>
      <c r="AE20" s="18">
        <v>443.04340991483207</v>
      </c>
      <c r="AF20" s="18">
        <v>456.33471221227705</v>
      </c>
      <c r="AG20" s="18">
        <v>470.0247535786454</v>
      </c>
      <c r="AH20" s="18">
        <v>484.1254961860048</v>
      </c>
      <c r="AI20" s="18">
        <v>498.64926107158493</v>
      </c>
      <c r="AJ20" s="18">
        <v>513.6087389037325</v>
      </c>
      <c r="AK20" s="18">
        <v>529.01700107084446</v>
      </c>
      <c r="AL20" s="18">
        <v>544.88751110296982</v>
      </c>
      <c r="AM20" s="18">
        <v>561.23413643605898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8">SUM(D22, D21, D20 + D19)</f>
        <v>250</v>
      </c>
      <c r="E23" s="19">
        <f t="shared" ref="E23:AL23" si="49">SUM(E22, E21, E20 + E19)</f>
        <v>257.5</v>
      </c>
      <c r="F23" s="19">
        <f t="shared" si="49"/>
        <v>236.9</v>
      </c>
      <c r="G23" s="19">
        <f t="shared" si="49"/>
        <v>217.94800000000001</v>
      </c>
      <c r="H23" s="19">
        <f t="shared" si="49"/>
        <v>224.48644000000002</v>
      </c>
      <c r="I23" s="19">
        <f t="shared" si="49"/>
        <v>231.22103320000002</v>
      </c>
      <c r="J23" s="19">
        <f t="shared" si="49"/>
        <v>238.15766419600004</v>
      </c>
      <c r="K23" s="19">
        <f t="shared" si="49"/>
        <v>245.30239412188004</v>
      </c>
      <c r="L23" s="19">
        <f t="shared" si="49"/>
        <v>252.66146594553646</v>
      </c>
      <c r="M23" s="19">
        <f t="shared" si="49"/>
        <v>260.24130992390258</v>
      </c>
      <c r="N23" s="19">
        <f t="shared" si="49"/>
        <v>268.04854922161968</v>
      </c>
      <c r="O23" s="19">
        <f t="shared" si="49"/>
        <v>276.09000569826827</v>
      </c>
      <c r="P23" s="19">
        <f t="shared" si="49"/>
        <v>284.3727058692163</v>
      </c>
      <c r="Q23" s="19">
        <f t="shared" si="49"/>
        <v>292.90388704529278</v>
      </c>
      <c r="R23" s="19">
        <f t="shared" si="49"/>
        <v>301.69100365665156</v>
      </c>
      <c r="S23" s="19">
        <f t="shared" si="49"/>
        <v>310.7417337663511</v>
      </c>
      <c r="T23" s="19">
        <f t="shared" si="49"/>
        <v>320.06398577934164</v>
      </c>
      <c r="U23" s="19">
        <f t="shared" si="49"/>
        <v>329.66590535272189</v>
      </c>
      <c r="V23" s="19">
        <f t="shared" si="49"/>
        <v>339.55588251330357</v>
      </c>
      <c r="W23" s="19">
        <f t="shared" si="49"/>
        <v>349.74255898870268</v>
      </c>
      <c r="X23" s="19">
        <f t="shared" si="49"/>
        <v>360.23483575836377</v>
      </c>
      <c r="Y23" s="19">
        <f t="shared" si="49"/>
        <v>371.04188083111467</v>
      </c>
      <c r="Z23" s="19">
        <f t="shared" si="49"/>
        <v>382.17313725604811</v>
      </c>
      <c r="AA23" s="19">
        <f t="shared" si="49"/>
        <v>393.63833137372956</v>
      </c>
      <c r="AB23" s="19">
        <f t="shared" si="49"/>
        <v>405.44748131494146</v>
      </c>
      <c r="AC23" s="19">
        <f t="shared" si="49"/>
        <v>417.61090575438971</v>
      </c>
      <c r="AD23" s="19">
        <f t="shared" si="49"/>
        <v>430.1392329270214</v>
      </c>
      <c r="AE23" s="19">
        <f t="shared" si="49"/>
        <v>443.04340991483207</v>
      </c>
      <c r="AF23" s="19">
        <f t="shared" si="49"/>
        <v>456.33471221227705</v>
      </c>
      <c r="AG23" s="19">
        <f t="shared" si="49"/>
        <v>470.0247535786454</v>
      </c>
      <c r="AH23" s="19">
        <f t="shared" si="49"/>
        <v>484.1254961860048</v>
      </c>
      <c r="AI23" s="19">
        <f t="shared" si="49"/>
        <v>498.64926107158493</v>
      </c>
      <c r="AJ23" s="19">
        <f t="shared" si="49"/>
        <v>513.6087389037325</v>
      </c>
      <c r="AK23" s="19">
        <f t="shared" si="49"/>
        <v>529.01700107084446</v>
      </c>
      <c r="AL23" s="19">
        <f t="shared" si="49"/>
        <v>544.88751110296982</v>
      </c>
      <c r="AM23" s="19">
        <f t="shared" si="48"/>
        <v>561.23413643605898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v>2121.8000000000002</v>
      </c>
      <c r="G28" s="18">
        <v>2185.4540000000002</v>
      </c>
      <c r="H28" s="18">
        <v>2251.0176200000001</v>
      </c>
      <c r="I28" s="18">
        <v>2318.5481486000003</v>
      </c>
      <c r="J28" s="18">
        <v>2388.1045930580003</v>
      </c>
      <c r="K28" s="18">
        <v>2459.7477308497405</v>
      </c>
      <c r="L28" s="18">
        <f t="shared" ref="L28:N28" si="50">K28*(0.92)</f>
        <v>2262.9679123817614</v>
      </c>
      <c r="M28" s="18">
        <f t="shared" si="50"/>
        <v>2081.9304793912206</v>
      </c>
      <c r="N28" s="18">
        <f t="shared" si="50"/>
        <v>1915.3760410399229</v>
      </c>
      <c r="O28" s="18">
        <v>1972.8373222711207</v>
      </c>
      <c r="P28" s="18">
        <v>2032.0224419392543</v>
      </c>
      <c r="Q28" s="18">
        <v>2092.9831151974322</v>
      </c>
      <c r="R28" s="18">
        <v>2155.7726086533553</v>
      </c>
      <c r="S28" s="18">
        <v>2220.445786912956</v>
      </c>
      <c r="T28" s="18">
        <v>2287.0591605203449</v>
      </c>
      <c r="U28" s="18">
        <v>2355.6709353359552</v>
      </c>
      <c r="V28" s="18">
        <v>2426.3410633960339</v>
      </c>
      <c r="W28" s="18">
        <v>2499.1312952979151</v>
      </c>
      <c r="X28" s="18">
        <v>2574.1052341568525</v>
      </c>
      <c r="Y28" s="18">
        <f t="shared" ref="Y28:Z28" si="51">X28*(0.92)</f>
        <v>2368.1768154243046</v>
      </c>
      <c r="Z28" s="18">
        <f t="shared" si="51"/>
        <v>2178.7226701903601</v>
      </c>
      <c r="AA28" s="18">
        <v>2244.0843502960711</v>
      </c>
      <c r="AB28" s="18">
        <v>2311.4068808049533</v>
      </c>
      <c r="AC28" s="18">
        <v>2380.7490872291019</v>
      </c>
      <c r="AD28" s="18">
        <v>2452.171559845975</v>
      </c>
      <c r="AE28" s="18">
        <v>2525.7367066413544</v>
      </c>
      <c r="AF28" s="18">
        <f>AE28*(0.92)</f>
        <v>2323.6777701100464</v>
      </c>
      <c r="AG28" s="18">
        <v>2393.3881032133477</v>
      </c>
      <c r="AH28" s="18">
        <v>2465.189746309748</v>
      </c>
      <c r="AI28" s="18">
        <v>2539.1454386990404</v>
      </c>
      <c r="AJ28" s="18">
        <v>2615.3198018600115</v>
      </c>
      <c r="AK28" s="18">
        <f t="shared" ref="AK28:AL28" si="52">AJ28*(0.92)</f>
        <v>2406.0942177112106</v>
      </c>
      <c r="AL28" s="18">
        <f t="shared" si="52"/>
        <v>2213.6066802943137</v>
      </c>
      <c r="AM28" s="18">
        <v>2280.0148807031433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3">SUM(D28, D27, D26, D25 + D24)</f>
        <v>2000</v>
      </c>
      <c r="E29" s="19">
        <f t="shared" ref="E29:AL29" si="54">SUM(E28, E27, E26, E25 + E24)</f>
        <v>2060</v>
      </c>
      <c r="F29" s="19">
        <f t="shared" si="54"/>
        <v>2121.8000000000002</v>
      </c>
      <c r="G29" s="19">
        <f t="shared" si="54"/>
        <v>2185.4540000000002</v>
      </c>
      <c r="H29" s="19">
        <f t="shared" si="54"/>
        <v>2251.0176200000001</v>
      </c>
      <c r="I29" s="19">
        <f t="shared" si="54"/>
        <v>2318.5481486000003</v>
      </c>
      <c r="J29" s="19">
        <f t="shared" si="54"/>
        <v>2388.1045930580003</v>
      </c>
      <c r="K29" s="19">
        <f t="shared" si="54"/>
        <v>2459.7477308497405</v>
      </c>
      <c r="L29" s="19">
        <f t="shared" si="54"/>
        <v>2262.9679123817614</v>
      </c>
      <c r="M29" s="19">
        <f t="shared" si="54"/>
        <v>2081.9304793912206</v>
      </c>
      <c r="N29" s="19">
        <f t="shared" si="54"/>
        <v>1915.3760410399229</v>
      </c>
      <c r="O29" s="19">
        <f t="shared" si="54"/>
        <v>1972.8373222711207</v>
      </c>
      <c r="P29" s="19">
        <f t="shared" si="54"/>
        <v>2032.0224419392543</v>
      </c>
      <c r="Q29" s="19">
        <f t="shared" si="54"/>
        <v>2092.9831151974322</v>
      </c>
      <c r="R29" s="19">
        <f t="shared" si="54"/>
        <v>2155.7726086533553</v>
      </c>
      <c r="S29" s="19">
        <f t="shared" si="54"/>
        <v>2220.445786912956</v>
      </c>
      <c r="T29" s="19">
        <f t="shared" si="54"/>
        <v>2287.0591605203449</v>
      </c>
      <c r="U29" s="19">
        <f t="shared" si="54"/>
        <v>2355.6709353359552</v>
      </c>
      <c r="V29" s="19">
        <f t="shared" si="54"/>
        <v>2426.3410633960339</v>
      </c>
      <c r="W29" s="19">
        <f t="shared" si="54"/>
        <v>2499.1312952979151</v>
      </c>
      <c r="X29" s="19">
        <f t="shared" si="54"/>
        <v>2574.1052341568525</v>
      </c>
      <c r="Y29" s="19">
        <f t="shared" si="54"/>
        <v>2368.1768154243046</v>
      </c>
      <c r="Z29" s="19">
        <f t="shared" si="54"/>
        <v>2178.7226701903601</v>
      </c>
      <c r="AA29" s="19">
        <f t="shared" si="54"/>
        <v>2244.0843502960711</v>
      </c>
      <c r="AB29" s="19">
        <f t="shared" si="54"/>
        <v>2311.4068808049533</v>
      </c>
      <c r="AC29" s="19">
        <f t="shared" si="54"/>
        <v>2380.7490872291019</v>
      </c>
      <c r="AD29" s="19">
        <f t="shared" si="54"/>
        <v>2452.171559845975</v>
      </c>
      <c r="AE29" s="19">
        <f t="shared" si="54"/>
        <v>2525.7367066413544</v>
      </c>
      <c r="AF29" s="19">
        <f t="shared" si="54"/>
        <v>2323.6777701100464</v>
      </c>
      <c r="AG29" s="19">
        <f t="shared" si="54"/>
        <v>2393.3881032133477</v>
      </c>
      <c r="AH29" s="19">
        <f t="shared" si="54"/>
        <v>2465.189746309748</v>
      </c>
      <c r="AI29" s="19">
        <f t="shared" si="54"/>
        <v>2539.1454386990404</v>
      </c>
      <c r="AJ29" s="19">
        <f t="shared" si="54"/>
        <v>2615.3198018600115</v>
      </c>
      <c r="AK29" s="19">
        <f t="shared" si="54"/>
        <v>2406.0942177112106</v>
      </c>
      <c r="AL29" s="19">
        <f t="shared" si="54"/>
        <v>2213.6066802943137</v>
      </c>
      <c r="AM29" s="19">
        <f t="shared" si="53"/>
        <v>2280.0148807031433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3500</v>
      </c>
      <c r="E31" s="18">
        <v>3605</v>
      </c>
      <c r="F31" s="18">
        <v>3713.15</v>
      </c>
      <c r="G31" s="18">
        <f t="shared" ref="G31:I31" si="55">F31*(0.92)</f>
        <v>3416.0980000000004</v>
      </c>
      <c r="H31" s="18">
        <f t="shared" si="55"/>
        <v>3142.8101600000005</v>
      </c>
      <c r="I31" s="18">
        <f t="shared" si="55"/>
        <v>2891.3853472000005</v>
      </c>
      <c r="J31" s="18">
        <v>2978.1269076160006</v>
      </c>
      <c r="K31" s="18">
        <v>3067.4707148444809</v>
      </c>
      <c r="L31" s="18">
        <v>3159.4948362898153</v>
      </c>
      <c r="M31" s="18">
        <v>3254.2796813785098</v>
      </c>
      <c r="N31" s="18">
        <v>3351.9080718198652</v>
      </c>
      <c r="O31" s="18">
        <v>3452.4653139744614</v>
      </c>
      <c r="P31" s="18">
        <v>3556.0392733936956</v>
      </c>
      <c r="Q31" s="18">
        <v>3662.7204515955063</v>
      </c>
      <c r="R31" s="18">
        <v>3772.6020651433714</v>
      </c>
      <c r="S31" s="18">
        <v>3885.7801270976724</v>
      </c>
      <c r="T31" s="18">
        <v>4002.3535309106028</v>
      </c>
      <c r="U31" s="18">
        <f t="shared" ref="U31:V31" si="56">T31*(0.92)</f>
        <v>3682.1652484377546</v>
      </c>
      <c r="V31" s="18">
        <f t="shared" si="56"/>
        <v>3387.5920285627344</v>
      </c>
      <c r="W31" s="18">
        <v>3489.2197894196165</v>
      </c>
      <c r="X31" s="18">
        <v>3593.8963831022052</v>
      </c>
      <c r="Y31" s="18">
        <v>3701.7132745952713</v>
      </c>
      <c r="Z31" s="18">
        <f t="shared" ref="Z31:AA31" si="57">Y31*(0.92)</f>
        <v>3405.5762126276495</v>
      </c>
      <c r="AA31" s="18">
        <f t="shared" si="57"/>
        <v>3133.1301156174377</v>
      </c>
      <c r="AB31" s="18">
        <v>3227.1240190859608</v>
      </c>
      <c r="AC31" s="18">
        <v>3323.9377396585396</v>
      </c>
      <c r="AD31" s="18">
        <v>3423.6558718482961</v>
      </c>
      <c r="AE31" s="18">
        <v>3526.3655480037451</v>
      </c>
      <c r="AF31" s="18">
        <v>3632.1565144438573</v>
      </c>
      <c r="AG31" s="18">
        <v>3741.121209877173</v>
      </c>
      <c r="AH31" s="18">
        <v>3853.3548461734881</v>
      </c>
      <c r="AI31" s="18">
        <v>3968.9554915586928</v>
      </c>
      <c r="AJ31" s="18">
        <v>4088.0241563054537</v>
      </c>
      <c r="AK31" s="18">
        <v>4210.6648809946173</v>
      </c>
      <c r="AL31" s="18">
        <v>4336.9848274244559</v>
      </c>
      <c r="AM31" s="18">
        <v>4467.0943722471893</v>
      </c>
    </row>
    <row r="32" spans="2:39" s="17" customFormat="1" ht="21" customHeight="1" x14ac:dyDescent="0.3">
      <c r="B32" s="7" t="s">
        <v>30</v>
      </c>
      <c r="C32" s="15"/>
      <c r="D32" s="18">
        <v>350</v>
      </c>
      <c r="E32" s="18">
        <v>360.5</v>
      </c>
      <c r="F32" s="18">
        <v>371.315</v>
      </c>
      <c r="G32" s="18">
        <v>382.45445000000001</v>
      </c>
      <c r="H32" s="18">
        <v>393.92808350000001</v>
      </c>
      <c r="I32" s="18">
        <v>405.745926005</v>
      </c>
      <c r="J32" s="18">
        <v>417.91830378514999</v>
      </c>
      <c r="K32" s="18">
        <v>430.45585289870451</v>
      </c>
      <c r="L32" s="18">
        <v>443.36952848566563</v>
      </c>
      <c r="M32" s="18">
        <v>456.6706143402356</v>
      </c>
      <c r="N32" s="18">
        <v>470.37073277044266</v>
      </c>
      <c r="O32" s="18">
        <v>484.48185475355592</v>
      </c>
      <c r="P32" s="18">
        <v>499.01631039616262</v>
      </c>
      <c r="Q32" s="18">
        <v>513.98679970804756</v>
      </c>
      <c r="R32" s="18">
        <v>529.40640369928894</v>
      </c>
      <c r="S32" s="18">
        <v>545.28859581026768</v>
      </c>
      <c r="T32" s="18">
        <v>561.64725368457573</v>
      </c>
      <c r="U32" s="18">
        <v>578.49667129511306</v>
      </c>
      <c r="V32" s="18">
        <v>595.85157143396646</v>
      </c>
      <c r="W32" s="18">
        <v>613.7271185769855</v>
      </c>
      <c r="X32" s="18">
        <v>632.13893213429503</v>
      </c>
      <c r="Y32" s="18">
        <v>651.10310009832392</v>
      </c>
      <c r="Z32" s="18">
        <v>670.63619310127365</v>
      </c>
      <c r="AA32" s="18">
        <v>690.75527889431191</v>
      </c>
      <c r="AB32" s="18">
        <v>711.47793726114128</v>
      </c>
      <c r="AC32" s="18">
        <v>732.82227537897552</v>
      </c>
      <c r="AD32" s="18">
        <v>754.8069436403448</v>
      </c>
      <c r="AE32" s="18">
        <v>777.4511519495552</v>
      </c>
      <c r="AF32" s="18">
        <v>800.7746865080419</v>
      </c>
      <c r="AG32" s="18">
        <v>824.7979271032832</v>
      </c>
      <c r="AH32" s="18">
        <v>849.54186491638177</v>
      </c>
      <c r="AI32" s="18">
        <v>875.02812086387326</v>
      </c>
      <c r="AJ32" s="18">
        <v>901.27896448978947</v>
      </c>
      <c r="AK32" s="18">
        <v>928.31733342448319</v>
      </c>
      <c r="AL32" s="18">
        <v>956.16685342721769</v>
      </c>
      <c r="AM32" s="18">
        <v>984.85185903003423</v>
      </c>
    </row>
    <row r="33" spans="2:39" s="17" customFormat="1" ht="21" customHeight="1" x14ac:dyDescent="0.3">
      <c r="B33" s="7" t="s">
        <v>31</v>
      </c>
      <c r="C33" s="15"/>
      <c r="D33" s="18">
        <v>350</v>
      </c>
      <c r="E33" s="18">
        <v>360.5</v>
      </c>
      <c r="F33" s="18">
        <v>371.315</v>
      </c>
      <c r="G33" s="18">
        <v>382.45445000000001</v>
      </c>
      <c r="H33" s="18">
        <v>393.92808350000001</v>
      </c>
      <c r="I33" s="18">
        <v>405.745926005</v>
      </c>
      <c r="J33" s="18">
        <v>417.91830378514999</v>
      </c>
      <c r="K33" s="18">
        <v>430.45585289870451</v>
      </c>
      <c r="L33" s="18">
        <v>443.36952848566563</v>
      </c>
      <c r="M33" s="18">
        <v>456.6706143402356</v>
      </c>
      <c r="N33" s="18">
        <v>470.37073277044266</v>
      </c>
      <c r="O33" s="18">
        <v>484.48185475355592</v>
      </c>
      <c r="P33" s="18">
        <v>499.01631039616262</v>
      </c>
      <c r="Q33" s="18">
        <v>513.98679970804756</v>
      </c>
      <c r="R33" s="18">
        <v>529.40640369928894</v>
      </c>
      <c r="S33" s="18">
        <v>545.28859581026768</v>
      </c>
      <c r="T33" s="18">
        <v>561.64725368457573</v>
      </c>
      <c r="U33" s="18">
        <v>578.49667129511306</v>
      </c>
      <c r="V33" s="18">
        <v>595.85157143396646</v>
      </c>
      <c r="W33" s="18">
        <v>613.7271185769855</v>
      </c>
      <c r="X33" s="18">
        <v>632.13893213429503</v>
      </c>
      <c r="Y33" s="18">
        <v>651.10310009832392</v>
      </c>
      <c r="Z33" s="18">
        <v>670.63619310127365</v>
      </c>
      <c r="AA33" s="18">
        <v>690.75527889431191</v>
      </c>
      <c r="AB33" s="18">
        <v>711.47793726114128</v>
      </c>
      <c r="AC33" s="18">
        <v>732.82227537897552</v>
      </c>
      <c r="AD33" s="18">
        <v>754.8069436403448</v>
      </c>
      <c r="AE33" s="18">
        <v>777.4511519495552</v>
      </c>
      <c r="AF33" s="18">
        <v>800.7746865080419</v>
      </c>
      <c r="AG33" s="18">
        <v>824.7979271032832</v>
      </c>
      <c r="AH33" s="18">
        <v>849.54186491638177</v>
      </c>
      <c r="AI33" s="18">
        <v>875.02812086387326</v>
      </c>
      <c r="AJ33" s="18">
        <v>901.27896448978947</v>
      </c>
      <c r="AK33" s="18">
        <v>928.31733342448319</v>
      </c>
      <c r="AL33" s="18">
        <v>956.16685342721769</v>
      </c>
      <c r="AM33" s="18">
        <v>984.85185903003423</v>
      </c>
    </row>
    <row r="34" spans="2:39" s="17" customFormat="1" ht="21" customHeight="1" x14ac:dyDescent="0.3">
      <c r="B34" s="7" t="s">
        <v>32</v>
      </c>
      <c r="C34" s="15"/>
      <c r="D34" s="18">
        <v>25</v>
      </c>
      <c r="E34" s="18">
        <v>25.75</v>
      </c>
      <c r="F34" s="18">
        <v>26.522500000000001</v>
      </c>
      <c r="G34" s="18">
        <v>27.318175</v>
      </c>
      <c r="H34" s="18">
        <v>28.137720250000001</v>
      </c>
      <c r="I34" s="18">
        <v>28.981851857500001</v>
      </c>
      <c r="J34" s="18">
        <v>29.851307413225001</v>
      </c>
      <c r="K34" s="18">
        <v>30.74684663562175</v>
      </c>
      <c r="L34" s="18">
        <v>31.669252034690405</v>
      </c>
      <c r="M34" s="18">
        <v>32.619329595731116</v>
      </c>
      <c r="N34" s="18">
        <v>33.597909483603054</v>
      </c>
      <c r="O34" s="18">
        <v>34.605846768111149</v>
      </c>
      <c r="P34" s="18">
        <v>35.644022171154482</v>
      </c>
      <c r="Q34" s="18">
        <v>36.713342836289115</v>
      </c>
      <c r="R34" s="18">
        <v>37.814743121377788</v>
      </c>
      <c r="S34" s="18">
        <v>38.949185415019123</v>
      </c>
      <c r="T34" s="18">
        <v>40.117660977469697</v>
      </c>
      <c r="U34" s="18">
        <v>41.321190806793787</v>
      </c>
      <c r="V34" s="18">
        <v>42.560826530997602</v>
      </c>
      <c r="W34" s="18">
        <v>43.837651326927528</v>
      </c>
      <c r="X34" s="18">
        <v>45.152780866735355</v>
      </c>
      <c r="Y34" s="18">
        <v>46.507364292737414</v>
      </c>
      <c r="Z34" s="18">
        <v>47.902585221519537</v>
      </c>
      <c r="AA34" s="18">
        <v>49.339662778165128</v>
      </c>
      <c r="AB34" s="18">
        <v>50.819852661510083</v>
      </c>
      <c r="AC34" s="18">
        <v>52.344448241355387</v>
      </c>
      <c r="AD34" s="18">
        <v>53.914781688596051</v>
      </c>
      <c r="AE34" s="18">
        <v>55.532225139253931</v>
      </c>
      <c r="AF34" s="18">
        <v>57.198191893431549</v>
      </c>
      <c r="AG34" s="18">
        <v>58.914137650234494</v>
      </c>
      <c r="AH34" s="18">
        <v>60.681561779741529</v>
      </c>
      <c r="AI34" s="18">
        <v>62.502008633133777</v>
      </c>
      <c r="AJ34" s="18">
        <v>64.377068892127795</v>
      </c>
      <c r="AK34" s="18">
        <v>66.308380958891632</v>
      </c>
      <c r="AL34" s="18">
        <v>68.297632387658382</v>
      </c>
      <c r="AM34" s="18">
        <v>70.346561359288131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8">SUM(D35, D34, D33, D32, D31 + D30)</f>
        <v>4225</v>
      </c>
      <c r="E36" s="19">
        <f t="shared" ref="E36:AL36" si="59">SUM(E35, E34, E33, E32, E31 + E30)</f>
        <v>4351.75</v>
      </c>
      <c r="F36" s="19">
        <f t="shared" si="59"/>
        <v>4482.3024999999998</v>
      </c>
      <c r="G36" s="19">
        <f t="shared" si="59"/>
        <v>4208.3250750000007</v>
      </c>
      <c r="H36" s="19">
        <f t="shared" si="59"/>
        <v>3958.8040472500006</v>
      </c>
      <c r="I36" s="19">
        <f t="shared" si="59"/>
        <v>3731.8590510675003</v>
      </c>
      <c r="J36" s="19">
        <f t="shared" si="59"/>
        <v>3843.8148225995255</v>
      </c>
      <c r="K36" s="19">
        <f t="shared" si="59"/>
        <v>3959.1292672775116</v>
      </c>
      <c r="L36" s="19">
        <f t="shared" si="59"/>
        <v>4077.903145295837</v>
      </c>
      <c r="M36" s="19">
        <f t="shared" si="59"/>
        <v>4200.2402396547122</v>
      </c>
      <c r="N36" s="19">
        <f t="shared" si="59"/>
        <v>4326.2474468443534</v>
      </c>
      <c r="O36" s="19">
        <f t="shared" si="59"/>
        <v>4456.0348702496849</v>
      </c>
      <c r="P36" s="19">
        <f t="shared" si="59"/>
        <v>4589.715916357175</v>
      </c>
      <c r="Q36" s="19">
        <f t="shared" si="59"/>
        <v>4727.4073938478905</v>
      </c>
      <c r="R36" s="19">
        <f t="shared" si="59"/>
        <v>4869.2296156633274</v>
      </c>
      <c r="S36" s="19">
        <f t="shared" si="59"/>
        <v>5015.3065041332266</v>
      </c>
      <c r="T36" s="19">
        <f t="shared" si="59"/>
        <v>5165.7656992572238</v>
      </c>
      <c r="U36" s="19">
        <f t="shared" si="59"/>
        <v>4880.4797818347743</v>
      </c>
      <c r="V36" s="19">
        <f t="shared" si="59"/>
        <v>4621.8559979616648</v>
      </c>
      <c r="W36" s="19">
        <f t="shared" si="59"/>
        <v>4760.5116779005148</v>
      </c>
      <c r="X36" s="19">
        <f t="shared" si="59"/>
        <v>4903.3270282375306</v>
      </c>
      <c r="Y36" s="19">
        <f t="shared" si="59"/>
        <v>5050.4268390846564</v>
      </c>
      <c r="Z36" s="19">
        <f t="shared" si="59"/>
        <v>4794.7511840517163</v>
      </c>
      <c r="AA36" s="19">
        <f t="shared" si="59"/>
        <v>4563.9803361842269</v>
      </c>
      <c r="AB36" s="19">
        <f t="shared" si="59"/>
        <v>4700.8997462697535</v>
      </c>
      <c r="AC36" s="19">
        <f t="shared" si="59"/>
        <v>4841.9267386578458</v>
      </c>
      <c r="AD36" s="19">
        <f t="shared" si="59"/>
        <v>4987.1845408175814</v>
      </c>
      <c r="AE36" s="19">
        <f t="shared" si="59"/>
        <v>5136.8000770421095</v>
      </c>
      <c r="AF36" s="19">
        <f t="shared" si="59"/>
        <v>5290.9040793533732</v>
      </c>
      <c r="AG36" s="19">
        <f t="shared" si="59"/>
        <v>5449.6312017339733</v>
      </c>
      <c r="AH36" s="19">
        <f t="shared" si="59"/>
        <v>5613.1201377859934</v>
      </c>
      <c r="AI36" s="19">
        <f t="shared" si="59"/>
        <v>5781.5137419195726</v>
      </c>
      <c r="AJ36" s="19">
        <f t="shared" si="59"/>
        <v>5954.9591541771606</v>
      </c>
      <c r="AK36" s="19">
        <f t="shared" si="59"/>
        <v>6133.6079288024757</v>
      </c>
      <c r="AL36" s="19">
        <f t="shared" si="59"/>
        <v>6317.6161666665503</v>
      </c>
      <c r="AM36" s="19">
        <f t="shared" si="58"/>
        <v>6507.1446516665455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300</v>
      </c>
      <c r="E39" s="18">
        <v>309</v>
      </c>
      <c r="F39" s="18">
        <v>318.27</v>
      </c>
      <c r="G39" s="18">
        <v>327.81810000000002</v>
      </c>
      <c r="H39" s="18">
        <v>337.65264300000001</v>
      </c>
      <c r="I39" s="18">
        <v>347.78222228999999</v>
      </c>
      <c r="J39" s="18">
        <v>358.21568895870001</v>
      </c>
      <c r="K39" s="18">
        <v>368.96215962746101</v>
      </c>
      <c r="L39" s="18">
        <v>380.03102441628482</v>
      </c>
      <c r="M39" s="18">
        <v>391.4319551487734</v>
      </c>
      <c r="N39" s="18">
        <v>403.17491380323662</v>
      </c>
      <c r="O39" s="18">
        <v>415.27016121733374</v>
      </c>
      <c r="P39" s="18">
        <v>427.72826605385376</v>
      </c>
      <c r="Q39" s="18">
        <v>440.56011403546938</v>
      </c>
      <c r="R39" s="18">
        <v>453.77691745653345</v>
      </c>
      <c r="S39" s="18">
        <v>467.39022498022945</v>
      </c>
      <c r="T39" s="18">
        <v>481.41193172963636</v>
      </c>
      <c r="U39" s="18">
        <v>495.85428968152547</v>
      </c>
      <c r="V39" s="18">
        <v>510.72991837197122</v>
      </c>
      <c r="W39" s="18">
        <v>526.05181592313033</v>
      </c>
      <c r="X39" s="18">
        <v>541.83337040082426</v>
      </c>
      <c r="Y39" s="18">
        <v>558.08837151284899</v>
      </c>
      <c r="Z39" s="18">
        <v>574.83102265823447</v>
      </c>
      <c r="AA39" s="18">
        <v>592.07595333798156</v>
      </c>
      <c r="AB39" s="18">
        <v>609.838231938121</v>
      </c>
      <c r="AC39" s="18">
        <v>628.13337889626462</v>
      </c>
      <c r="AD39" s="18">
        <v>646.97738026315255</v>
      </c>
      <c r="AE39" s="18">
        <v>666.38670167104715</v>
      </c>
      <c r="AF39" s="18">
        <v>686.37830272117856</v>
      </c>
      <c r="AG39" s="18">
        <v>706.96965180281393</v>
      </c>
      <c r="AH39" s="18">
        <v>728.1787413568984</v>
      </c>
      <c r="AI39" s="18">
        <v>750.0241035976054</v>
      </c>
      <c r="AJ39" s="18">
        <v>772.52482670553354</v>
      </c>
      <c r="AK39" s="18">
        <v>795.70057150669959</v>
      </c>
      <c r="AL39" s="18">
        <v>819.57158865190058</v>
      </c>
      <c r="AM39" s="18">
        <v>844.15873631145757</v>
      </c>
    </row>
    <row r="40" spans="2:39" s="17" customFormat="1" ht="21" customHeight="1" x14ac:dyDescent="0.3">
      <c r="B40" s="7" t="s">
        <v>38</v>
      </c>
      <c r="C40" s="15"/>
      <c r="D40" s="18">
        <v>200</v>
      </c>
      <c r="E40" s="18">
        <f t="shared" ref="E40:G40" si="60">D40*(0.92)</f>
        <v>184</v>
      </c>
      <c r="F40" s="18">
        <f t="shared" si="60"/>
        <v>169.28</v>
      </c>
      <c r="G40" s="18">
        <f t="shared" si="60"/>
        <v>155.73760000000001</v>
      </c>
      <c r="H40" s="18">
        <v>160.40972800000003</v>
      </c>
      <c r="I40" s="18">
        <v>165.22201984000003</v>
      </c>
      <c r="J40" s="18">
        <v>170.17868043520002</v>
      </c>
      <c r="K40" s="18">
        <v>175.28404084825604</v>
      </c>
      <c r="L40" s="18">
        <v>180.54256207370372</v>
      </c>
      <c r="M40" s="18">
        <v>185.95883893591483</v>
      </c>
      <c r="N40" s="18">
        <v>191.53760410399227</v>
      </c>
      <c r="O40" s="18">
        <v>197.28373222711204</v>
      </c>
      <c r="P40" s="18">
        <v>203.2022441939254</v>
      </c>
      <c r="Q40" s="18">
        <v>209.29831151974315</v>
      </c>
      <c r="R40" s="18">
        <v>215.57726086533546</v>
      </c>
      <c r="S40" s="18">
        <v>222.04457869129553</v>
      </c>
      <c r="T40" s="18">
        <v>228.70591605203441</v>
      </c>
      <c r="U40" s="18">
        <v>235.56709353359545</v>
      </c>
      <c r="V40" s="18">
        <v>242.63410633960333</v>
      </c>
      <c r="W40" s="18">
        <v>249.91312952979143</v>
      </c>
      <c r="X40" s="18">
        <v>257.41052341568519</v>
      </c>
      <c r="Y40" s="18">
        <v>265.13283911815574</v>
      </c>
      <c r="Z40" s="18">
        <v>273.0868242917004</v>
      </c>
      <c r="AA40" s="18">
        <v>281.2794290204514</v>
      </c>
      <c r="AB40" s="18">
        <v>289.71781189106497</v>
      </c>
      <c r="AC40" s="18">
        <v>298.40934624779692</v>
      </c>
      <c r="AD40" s="18">
        <v>307.36162663523083</v>
      </c>
      <c r="AE40" s="18">
        <v>316.58247543428774</v>
      </c>
      <c r="AF40" s="18">
        <v>326.07994969731641</v>
      </c>
      <c r="AG40" s="18">
        <v>335.8623481882359</v>
      </c>
      <c r="AH40" s="18">
        <v>345.93821863388297</v>
      </c>
      <c r="AI40" s="18">
        <v>356.31636519289947</v>
      </c>
      <c r="AJ40" s="18">
        <v>367.00585614868646</v>
      </c>
      <c r="AK40" s="18">
        <v>378.01603183314705</v>
      </c>
      <c r="AL40" s="18">
        <v>389.35651278814146</v>
      </c>
      <c r="AM40" s="18">
        <v>401.03720817178572</v>
      </c>
    </row>
    <row r="41" spans="2:39" s="17" customFormat="1" ht="21" customHeight="1" x14ac:dyDescent="0.3">
      <c r="B41" s="7" t="s">
        <v>39</v>
      </c>
      <c r="C41" s="15"/>
      <c r="D41" s="18">
        <v>200</v>
      </c>
      <c r="E41" s="18">
        <v>206</v>
      </c>
      <c r="F41" s="18">
        <v>212.18</v>
      </c>
      <c r="G41" s="18">
        <v>218.5454</v>
      </c>
      <c r="H41" s="18">
        <v>225.10176200000001</v>
      </c>
      <c r="I41" s="18">
        <v>231.85481486</v>
      </c>
      <c r="J41" s="18">
        <v>238.81045930580001</v>
      </c>
      <c r="K41" s="18">
        <v>245.974773084974</v>
      </c>
      <c r="L41" s="18">
        <v>253.35401627752324</v>
      </c>
      <c r="M41" s="18">
        <v>260.95463676584893</v>
      </c>
      <c r="N41" s="18">
        <v>268.78327586882443</v>
      </c>
      <c r="O41" s="18">
        <v>276.8467741448892</v>
      </c>
      <c r="P41" s="18">
        <v>285.15217736923586</v>
      </c>
      <c r="Q41" s="18">
        <v>293.70674269031292</v>
      </c>
      <c r="R41" s="18">
        <v>302.5179449710223</v>
      </c>
      <c r="S41" s="18">
        <v>311.59348332015298</v>
      </c>
      <c r="T41" s="18">
        <v>320.94128781975758</v>
      </c>
      <c r="U41" s="18">
        <v>330.5695264543503</v>
      </c>
      <c r="V41" s="18">
        <v>340.48661224798082</v>
      </c>
      <c r="W41" s="18">
        <v>350.70121061542022</v>
      </c>
      <c r="X41" s="18">
        <v>361.22224693388284</v>
      </c>
      <c r="Y41" s="18">
        <v>372.05891434189931</v>
      </c>
      <c r="Z41" s="18">
        <v>383.2206817721563</v>
      </c>
      <c r="AA41" s="18">
        <v>394.71730222532102</v>
      </c>
      <c r="AB41" s="18">
        <v>406.55882129208067</v>
      </c>
      <c r="AC41" s="18">
        <v>418.7555859308431</v>
      </c>
      <c r="AD41" s="18">
        <v>431.31825350876841</v>
      </c>
      <c r="AE41" s="18">
        <v>444.25780111403145</v>
      </c>
      <c r="AF41" s="18">
        <v>457.58553514745239</v>
      </c>
      <c r="AG41" s="18">
        <v>471.31310120187595</v>
      </c>
      <c r="AH41" s="18">
        <v>485.45249423793223</v>
      </c>
      <c r="AI41" s="18">
        <v>500.01606906507021</v>
      </c>
      <c r="AJ41" s="18">
        <v>515.01655113702236</v>
      </c>
      <c r="AK41" s="18">
        <v>530.46704767113306</v>
      </c>
      <c r="AL41" s="18">
        <v>546.38105910126706</v>
      </c>
      <c r="AM41" s="18">
        <v>562.77249087430505</v>
      </c>
    </row>
    <row r="42" spans="2:39" s="17" customFormat="1" ht="21" customHeight="1" x14ac:dyDescent="0.3">
      <c r="B42" s="6" t="s">
        <v>40</v>
      </c>
      <c r="C42" s="15"/>
      <c r="D42" s="18">
        <f t="shared" ref="D42" si="61">SUM(D41, D40, D39 + D38)</f>
        <v>700</v>
      </c>
      <c r="E42" s="18">
        <v>700</v>
      </c>
      <c r="F42" s="18">
        <v>700</v>
      </c>
      <c r="G42" s="18">
        <v>700</v>
      </c>
      <c r="H42" s="18">
        <v>700</v>
      </c>
      <c r="I42" s="18">
        <v>700</v>
      </c>
      <c r="J42" s="18">
        <v>700</v>
      </c>
      <c r="K42" s="18">
        <v>700</v>
      </c>
      <c r="L42" s="18">
        <v>700</v>
      </c>
      <c r="M42" s="18">
        <v>700</v>
      </c>
      <c r="N42" s="18">
        <v>700</v>
      </c>
      <c r="O42" s="18">
        <v>700</v>
      </c>
      <c r="P42" s="18">
        <v>700</v>
      </c>
      <c r="Q42" s="18">
        <v>700</v>
      </c>
      <c r="R42" s="18">
        <v>700</v>
      </c>
      <c r="S42" s="18">
        <v>700</v>
      </c>
      <c r="T42" s="18">
        <v>700</v>
      </c>
      <c r="U42" s="18">
        <v>700</v>
      </c>
      <c r="V42" s="18">
        <v>700</v>
      </c>
      <c r="W42" s="18">
        <v>700</v>
      </c>
      <c r="X42" s="18">
        <v>700</v>
      </c>
      <c r="Y42" s="18">
        <v>700</v>
      </c>
      <c r="Z42" s="18">
        <v>700</v>
      </c>
      <c r="AA42" s="18">
        <v>700</v>
      </c>
      <c r="AB42" s="18">
        <v>700</v>
      </c>
      <c r="AC42" s="18">
        <v>700</v>
      </c>
      <c r="AD42" s="18">
        <v>700</v>
      </c>
      <c r="AE42" s="18">
        <v>700</v>
      </c>
      <c r="AF42" s="18">
        <v>700</v>
      </c>
      <c r="AG42" s="18">
        <v>700</v>
      </c>
      <c r="AH42" s="18">
        <v>700</v>
      </c>
      <c r="AI42" s="18">
        <v>700</v>
      </c>
      <c r="AJ42" s="18">
        <v>700</v>
      </c>
      <c r="AK42" s="18">
        <v>700</v>
      </c>
      <c r="AL42" s="18">
        <v>700</v>
      </c>
      <c r="AM42" s="18">
        <v>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62">SUM(D41, D40, D39, D38, D37, D35, D34, D33, D32, D31, D30, D28, D27, D26, D25, D24, D22, D21, D20, D19, D18, D17, D16, D15, D14 + D13)</f>
        <v>10325</v>
      </c>
      <c r="E43" s="19">
        <f t="shared" ref="E43:AL43" si="63">SUM(E41, E40, E39, E38, E37, E35, E34, E33, E32, E31, E30, E28, E27, E26, E25, E24, E22, E21, E20, E19, E18, E17, E16, E15, E14 + E13)</f>
        <v>10612.75</v>
      </c>
      <c r="F43" s="19">
        <f t="shared" si="63"/>
        <v>10882.567500000001</v>
      </c>
      <c r="G43" s="19">
        <f t="shared" si="63"/>
        <v>10680.063875</v>
      </c>
      <c r="H43" s="19">
        <f t="shared" si="63"/>
        <v>10324.19508625</v>
      </c>
      <c r="I43" s="19">
        <f t="shared" si="63"/>
        <v>10011.751890237501</v>
      </c>
      <c r="J43" s="19">
        <f t="shared" si="63"/>
        <v>10312.104446944628</v>
      </c>
      <c r="K43" s="19">
        <f t="shared" si="63"/>
        <v>10621.467580352964</v>
      </c>
      <c r="L43" s="19">
        <f t="shared" si="63"/>
        <v>10669.539357370084</v>
      </c>
      <c r="M43" s="19">
        <f t="shared" si="63"/>
        <v>10740.699067729192</v>
      </c>
      <c r="N43" s="19">
        <f t="shared" si="63"/>
        <v>10833.907687028033</v>
      </c>
      <c r="O43" s="19">
        <f t="shared" si="63"/>
        <v>11073.096937606588</v>
      </c>
      <c r="P43" s="19">
        <f t="shared" si="63"/>
        <v>11405.289845734786</v>
      </c>
      <c r="Q43" s="19">
        <f t="shared" si="63"/>
        <v>11747.448541106829</v>
      </c>
      <c r="R43" s="19">
        <f t="shared" si="63"/>
        <v>11777.677721590211</v>
      </c>
      <c r="S43" s="19">
        <f t="shared" si="63"/>
        <v>11834.589319548082</v>
      </c>
      <c r="T43" s="19">
        <f t="shared" si="63"/>
        <v>12189.626999134525</v>
      </c>
      <c r="U43" s="19">
        <f t="shared" si="63"/>
        <v>12023.518620775503</v>
      </c>
      <c r="V43" s="19">
        <f t="shared" si="63"/>
        <v>11894.970766132355</v>
      </c>
      <c r="W43" s="19">
        <f t="shared" si="63"/>
        <v>12251.819889116328</v>
      </c>
      <c r="X43" s="19">
        <f t="shared" si="63"/>
        <v>12619.374485789816</v>
      </c>
      <c r="Y43" s="19">
        <f t="shared" si="63"/>
        <v>12632.60771630391</v>
      </c>
      <c r="Z43" s="19">
        <f t="shared" si="63"/>
        <v>12268.277323852713</v>
      </c>
      <c r="AA43" s="19">
        <f t="shared" si="63"/>
        <v>12261.712260179253</v>
      </c>
      <c r="AB43" s="19">
        <f t="shared" si="63"/>
        <v>12284.10879525563</v>
      </c>
      <c r="AC43" s="19">
        <f t="shared" si="63"/>
        <v>12261.00567872138</v>
      </c>
      <c r="AD43" s="19">
        <f t="shared" si="63"/>
        <v>12560.932549544286</v>
      </c>
      <c r="AE43" s="19">
        <f t="shared" si="63"/>
        <v>12937.760526030614</v>
      </c>
      <c r="AF43" s="19">
        <f t="shared" si="63"/>
        <v>13048.062304080984</v>
      </c>
      <c r="AG43" s="19">
        <f t="shared" si="63"/>
        <v>13439.504173203413</v>
      </c>
      <c r="AH43" s="19">
        <f t="shared" si="63"/>
        <v>13513.598434207681</v>
      </c>
      <c r="AI43" s="19">
        <f t="shared" si="63"/>
        <v>13919.006387233911</v>
      </c>
      <c r="AJ43" s="19">
        <f t="shared" si="63"/>
        <v>14264.155526913415</v>
      </c>
      <c r="AK43" s="19">
        <f t="shared" si="63"/>
        <v>14404.395014516216</v>
      </c>
      <c r="AL43" s="19">
        <f t="shared" si="63"/>
        <v>14571.856501003471</v>
      </c>
      <c r="AM43" s="19">
        <f t="shared" si="62"/>
        <v>15009.012196033573</v>
      </c>
    </row>
    <row r="44" spans="2:39" s="21" customFormat="1" ht="21" customHeight="1" x14ac:dyDescent="0.3">
      <c r="B44" s="5" t="s">
        <v>42</v>
      </c>
      <c r="C44" s="22"/>
      <c r="D44" s="23">
        <f t="shared" ref="D44:AM44" si="64">D12-D43</f>
        <v>-10325</v>
      </c>
      <c r="E44" s="23">
        <f t="shared" ref="E44:AL44" si="65">E12-E43</f>
        <v>-10612.75</v>
      </c>
      <c r="F44" s="23">
        <f t="shared" si="65"/>
        <v>-10882.567500000001</v>
      </c>
      <c r="G44" s="23">
        <f t="shared" si="65"/>
        <v>-10680.063875</v>
      </c>
      <c r="H44" s="23">
        <f t="shared" si="65"/>
        <v>-10324.19508625</v>
      </c>
      <c r="I44" s="23">
        <f t="shared" si="65"/>
        <v>-10011.751890237501</v>
      </c>
      <c r="J44" s="23">
        <f t="shared" si="65"/>
        <v>-10312.104446944628</v>
      </c>
      <c r="K44" s="23">
        <f t="shared" si="65"/>
        <v>-10621.467580352964</v>
      </c>
      <c r="L44" s="23">
        <f t="shared" si="65"/>
        <v>-10669.539357370084</v>
      </c>
      <c r="M44" s="23">
        <f t="shared" si="65"/>
        <v>-10740.699067729192</v>
      </c>
      <c r="N44" s="23">
        <f t="shared" si="65"/>
        <v>-10833.907687028033</v>
      </c>
      <c r="O44" s="23">
        <f t="shared" si="65"/>
        <v>-11073.096937606588</v>
      </c>
      <c r="P44" s="23">
        <f t="shared" si="65"/>
        <v>-11405.289845734786</v>
      </c>
      <c r="Q44" s="23">
        <f t="shared" si="65"/>
        <v>-11747.448541106829</v>
      </c>
      <c r="R44" s="23">
        <f t="shared" si="65"/>
        <v>-11777.677721590211</v>
      </c>
      <c r="S44" s="23">
        <f t="shared" si="65"/>
        <v>-11834.589319548082</v>
      </c>
      <c r="T44" s="23">
        <f t="shared" si="65"/>
        <v>-12189.626999134525</v>
      </c>
      <c r="U44" s="23">
        <f t="shared" si="65"/>
        <v>-12023.518620775503</v>
      </c>
      <c r="V44" s="23">
        <f t="shared" si="65"/>
        <v>-11894.970766132355</v>
      </c>
      <c r="W44" s="23">
        <f t="shared" si="65"/>
        <v>-12251.819889116328</v>
      </c>
      <c r="X44" s="23">
        <f t="shared" si="65"/>
        <v>-12619.374485789816</v>
      </c>
      <c r="Y44" s="23">
        <f t="shared" si="65"/>
        <v>-12632.60771630391</v>
      </c>
      <c r="Z44" s="23">
        <f t="shared" si="65"/>
        <v>-12268.277323852713</v>
      </c>
      <c r="AA44" s="23">
        <f t="shared" si="65"/>
        <v>-12261.712260179253</v>
      </c>
      <c r="AB44" s="23">
        <f t="shared" si="65"/>
        <v>-12284.10879525563</v>
      </c>
      <c r="AC44" s="23">
        <f t="shared" si="65"/>
        <v>-12261.00567872138</v>
      </c>
      <c r="AD44" s="23">
        <f t="shared" si="65"/>
        <v>-12560.932549544286</v>
      </c>
      <c r="AE44" s="23">
        <f t="shared" si="65"/>
        <v>-12937.760526030614</v>
      </c>
      <c r="AF44" s="23">
        <f t="shared" si="65"/>
        <v>-13048.062304080984</v>
      </c>
      <c r="AG44" s="23">
        <f t="shared" si="65"/>
        <v>-13439.504173203413</v>
      </c>
      <c r="AH44" s="23">
        <f t="shared" si="65"/>
        <v>-13513.598434207681</v>
      </c>
      <c r="AI44" s="23">
        <f t="shared" si="65"/>
        <v>-13919.006387233911</v>
      </c>
      <c r="AJ44" s="23">
        <f t="shared" si="65"/>
        <v>-14264.155526913415</v>
      </c>
      <c r="AK44" s="23">
        <f t="shared" si="65"/>
        <v>-14404.395014516216</v>
      </c>
      <c r="AL44" s="23">
        <f t="shared" si="65"/>
        <v>-14571.856501003471</v>
      </c>
      <c r="AM44" s="23">
        <f t="shared" si="64"/>
        <v>-15009.012196033573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6">SUM(D46 + D45)</f>
        <v>0</v>
      </c>
      <c r="E47" s="19">
        <f t="shared" si="66"/>
        <v>0</v>
      </c>
      <c r="F47" s="19">
        <f t="shared" si="66"/>
        <v>0</v>
      </c>
      <c r="G47" s="19">
        <f t="shared" si="66"/>
        <v>0</v>
      </c>
      <c r="H47" s="19">
        <f t="shared" si="66"/>
        <v>0</v>
      </c>
      <c r="I47" s="19">
        <f t="shared" si="66"/>
        <v>0</v>
      </c>
      <c r="J47" s="19">
        <f t="shared" si="66"/>
        <v>0</v>
      </c>
      <c r="K47" s="19">
        <f t="shared" si="66"/>
        <v>0</v>
      </c>
      <c r="L47" s="19">
        <f t="shared" si="66"/>
        <v>0</v>
      </c>
      <c r="M47" s="19">
        <f t="shared" si="66"/>
        <v>0</v>
      </c>
      <c r="N47" s="19">
        <f t="shared" si="66"/>
        <v>0</v>
      </c>
      <c r="O47" s="19">
        <f t="shared" si="66"/>
        <v>0</v>
      </c>
      <c r="P47" s="19">
        <f t="shared" si="66"/>
        <v>0</v>
      </c>
      <c r="Q47" s="19">
        <f t="shared" si="66"/>
        <v>0</v>
      </c>
      <c r="R47" s="19">
        <f t="shared" si="66"/>
        <v>0</v>
      </c>
      <c r="S47" s="19">
        <f t="shared" si="66"/>
        <v>0</v>
      </c>
      <c r="T47" s="19">
        <f t="shared" si="66"/>
        <v>0</v>
      </c>
      <c r="U47" s="19">
        <f t="shared" si="66"/>
        <v>0</v>
      </c>
      <c r="V47" s="19">
        <f t="shared" si="66"/>
        <v>0</v>
      </c>
      <c r="W47" s="19">
        <f t="shared" si="66"/>
        <v>0</v>
      </c>
      <c r="X47" s="19">
        <f t="shared" si="66"/>
        <v>0</v>
      </c>
      <c r="Y47" s="19">
        <f t="shared" si="66"/>
        <v>0</v>
      </c>
      <c r="Z47" s="19">
        <f t="shared" si="66"/>
        <v>0</v>
      </c>
      <c r="AA47" s="19">
        <f t="shared" si="66"/>
        <v>0</v>
      </c>
      <c r="AB47" s="19">
        <f t="shared" si="66"/>
        <v>0</v>
      </c>
      <c r="AC47" s="19">
        <f t="shared" si="66"/>
        <v>0</v>
      </c>
      <c r="AD47" s="19">
        <f t="shared" si="66"/>
        <v>0</v>
      </c>
      <c r="AE47" s="19">
        <f t="shared" si="66"/>
        <v>0</v>
      </c>
      <c r="AF47" s="19">
        <f t="shared" si="66"/>
        <v>0</v>
      </c>
      <c r="AG47" s="19">
        <f t="shared" si="66"/>
        <v>0</v>
      </c>
      <c r="AH47" s="19">
        <f t="shared" si="66"/>
        <v>0</v>
      </c>
      <c r="AI47" s="19">
        <f t="shared" si="66"/>
        <v>0</v>
      </c>
      <c r="AJ47" s="19">
        <f t="shared" si="66"/>
        <v>0</v>
      </c>
      <c r="AK47" s="19">
        <f t="shared" si="66"/>
        <v>0</v>
      </c>
      <c r="AL47" s="19">
        <f t="shared" si="66"/>
        <v>0</v>
      </c>
      <c r="AM47" s="19">
        <f t="shared" ref="AM47" si="67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8">SUM(D50, D49 + D48)</f>
        <v>0</v>
      </c>
      <c r="E51" s="19">
        <f t="shared" ref="E51:AL51" si="69">SUM(E50, E49 + E48)</f>
        <v>0</v>
      </c>
      <c r="F51" s="19">
        <f t="shared" si="69"/>
        <v>0</v>
      </c>
      <c r="G51" s="19">
        <f t="shared" si="69"/>
        <v>0</v>
      </c>
      <c r="H51" s="19">
        <f t="shared" si="69"/>
        <v>0</v>
      </c>
      <c r="I51" s="19">
        <f t="shared" si="69"/>
        <v>0</v>
      </c>
      <c r="J51" s="19">
        <f t="shared" si="69"/>
        <v>0</v>
      </c>
      <c r="K51" s="19">
        <f t="shared" si="69"/>
        <v>0</v>
      </c>
      <c r="L51" s="19">
        <f t="shared" si="69"/>
        <v>0</v>
      </c>
      <c r="M51" s="19">
        <f t="shared" si="69"/>
        <v>0</v>
      </c>
      <c r="N51" s="19">
        <f t="shared" si="69"/>
        <v>0</v>
      </c>
      <c r="O51" s="19">
        <f t="shared" si="69"/>
        <v>0</v>
      </c>
      <c r="P51" s="19">
        <f t="shared" si="69"/>
        <v>0</v>
      </c>
      <c r="Q51" s="19">
        <f t="shared" si="69"/>
        <v>0</v>
      </c>
      <c r="R51" s="19">
        <f t="shared" si="69"/>
        <v>0</v>
      </c>
      <c r="S51" s="19">
        <f t="shared" si="69"/>
        <v>0</v>
      </c>
      <c r="T51" s="19">
        <f t="shared" si="69"/>
        <v>0</v>
      </c>
      <c r="U51" s="19">
        <f t="shared" si="69"/>
        <v>0</v>
      </c>
      <c r="V51" s="19">
        <f t="shared" si="69"/>
        <v>0</v>
      </c>
      <c r="W51" s="19">
        <f t="shared" si="69"/>
        <v>0</v>
      </c>
      <c r="X51" s="19">
        <f t="shared" si="69"/>
        <v>0</v>
      </c>
      <c r="Y51" s="19">
        <f t="shared" si="69"/>
        <v>0</v>
      </c>
      <c r="Z51" s="19">
        <f t="shared" si="69"/>
        <v>0</v>
      </c>
      <c r="AA51" s="19">
        <f t="shared" si="69"/>
        <v>0</v>
      </c>
      <c r="AB51" s="19">
        <f t="shared" si="69"/>
        <v>0</v>
      </c>
      <c r="AC51" s="19">
        <f t="shared" si="69"/>
        <v>0</v>
      </c>
      <c r="AD51" s="19">
        <f t="shared" si="69"/>
        <v>0</v>
      </c>
      <c r="AE51" s="19">
        <f t="shared" si="69"/>
        <v>0</v>
      </c>
      <c r="AF51" s="19">
        <f t="shared" si="69"/>
        <v>0</v>
      </c>
      <c r="AG51" s="19">
        <f t="shared" si="69"/>
        <v>0</v>
      </c>
      <c r="AH51" s="19">
        <f t="shared" si="69"/>
        <v>0</v>
      </c>
      <c r="AI51" s="19">
        <f t="shared" si="69"/>
        <v>0</v>
      </c>
      <c r="AJ51" s="19">
        <f t="shared" si="69"/>
        <v>0</v>
      </c>
      <c r="AK51" s="19">
        <f t="shared" si="69"/>
        <v>0</v>
      </c>
      <c r="AL51" s="19">
        <f t="shared" si="69"/>
        <v>0</v>
      </c>
      <c r="AM51" s="19">
        <f t="shared" si="68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70">D47-D51</f>
        <v>0</v>
      </c>
      <c r="E52" s="23">
        <f t="shared" ref="E52:AL52" si="71">E47-E51</f>
        <v>0</v>
      </c>
      <c r="F52" s="23">
        <f t="shared" si="71"/>
        <v>0</v>
      </c>
      <c r="G52" s="23">
        <f t="shared" si="71"/>
        <v>0</v>
      </c>
      <c r="H52" s="23">
        <f t="shared" si="71"/>
        <v>0</v>
      </c>
      <c r="I52" s="23">
        <f t="shared" si="71"/>
        <v>0</v>
      </c>
      <c r="J52" s="23">
        <f t="shared" si="71"/>
        <v>0</v>
      </c>
      <c r="K52" s="23">
        <f t="shared" si="71"/>
        <v>0</v>
      </c>
      <c r="L52" s="23">
        <f t="shared" si="71"/>
        <v>0</v>
      </c>
      <c r="M52" s="23">
        <f t="shared" si="71"/>
        <v>0</v>
      </c>
      <c r="N52" s="23">
        <f t="shared" si="71"/>
        <v>0</v>
      </c>
      <c r="O52" s="23">
        <f t="shared" si="71"/>
        <v>0</v>
      </c>
      <c r="P52" s="23">
        <f t="shared" si="71"/>
        <v>0</v>
      </c>
      <c r="Q52" s="23">
        <f t="shared" si="71"/>
        <v>0</v>
      </c>
      <c r="R52" s="23">
        <f t="shared" si="71"/>
        <v>0</v>
      </c>
      <c r="S52" s="23">
        <f t="shared" si="71"/>
        <v>0</v>
      </c>
      <c r="T52" s="23">
        <f t="shared" si="71"/>
        <v>0</v>
      </c>
      <c r="U52" s="23">
        <f t="shared" si="71"/>
        <v>0</v>
      </c>
      <c r="V52" s="23">
        <f t="shared" si="71"/>
        <v>0</v>
      </c>
      <c r="W52" s="23">
        <f t="shared" si="71"/>
        <v>0</v>
      </c>
      <c r="X52" s="23">
        <f t="shared" si="71"/>
        <v>0</v>
      </c>
      <c r="Y52" s="23">
        <f t="shared" si="71"/>
        <v>0</v>
      </c>
      <c r="Z52" s="23">
        <f t="shared" si="71"/>
        <v>0</v>
      </c>
      <c r="AA52" s="23">
        <f t="shared" si="71"/>
        <v>0</v>
      </c>
      <c r="AB52" s="23">
        <f t="shared" si="71"/>
        <v>0</v>
      </c>
      <c r="AC52" s="23">
        <f t="shared" si="71"/>
        <v>0</v>
      </c>
      <c r="AD52" s="23">
        <f t="shared" si="71"/>
        <v>0</v>
      </c>
      <c r="AE52" s="23">
        <f t="shared" si="71"/>
        <v>0</v>
      </c>
      <c r="AF52" s="23">
        <f t="shared" si="71"/>
        <v>0</v>
      </c>
      <c r="AG52" s="23">
        <f t="shared" si="71"/>
        <v>0</v>
      </c>
      <c r="AH52" s="23">
        <f t="shared" si="71"/>
        <v>0</v>
      </c>
      <c r="AI52" s="23">
        <f t="shared" si="71"/>
        <v>0</v>
      </c>
      <c r="AJ52" s="23">
        <f t="shared" si="71"/>
        <v>0</v>
      </c>
      <c r="AK52" s="23">
        <f t="shared" si="71"/>
        <v>0</v>
      </c>
      <c r="AL52" s="23">
        <f t="shared" si="71"/>
        <v>0</v>
      </c>
      <c r="AM52" s="23">
        <f t="shared" si="70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72">D44+D52</f>
        <v>-10325</v>
      </c>
      <c r="E53" s="23">
        <f t="shared" ref="E53:AL53" si="73">E44+E52</f>
        <v>-10612.75</v>
      </c>
      <c r="F53" s="23">
        <f t="shared" si="73"/>
        <v>-10882.567500000001</v>
      </c>
      <c r="G53" s="23">
        <f t="shared" si="73"/>
        <v>-10680.063875</v>
      </c>
      <c r="H53" s="23">
        <f t="shared" si="73"/>
        <v>-10324.19508625</v>
      </c>
      <c r="I53" s="23">
        <f t="shared" si="73"/>
        <v>-10011.751890237501</v>
      </c>
      <c r="J53" s="23">
        <f t="shared" si="73"/>
        <v>-10312.104446944628</v>
      </c>
      <c r="K53" s="23">
        <f t="shared" si="73"/>
        <v>-10621.467580352964</v>
      </c>
      <c r="L53" s="23">
        <f t="shared" si="73"/>
        <v>-10669.539357370084</v>
      </c>
      <c r="M53" s="23">
        <f t="shared" si="73"/>
        <v>-10740.699067729192</v>
      </c>
      <c r="N53" s="23">
        <f t="shared" si="73"/>
        <v>-10833.907687028033</v>
      </c>
      <c r="O53" s="23">
        <f t="shared" si="73"/>
        <v>-11073.096937606588</v>
      </c>
      <c r="P53" s="23">
        <f t="shared" si="73"/>
        <v>-11405.289845734786</v>
      </c>
      <c r="Q53" s="23">
        <f t="shared" si="73"/>
        <v>-11747.448541106829</v>
      </c>
      <c r="R53" s="23">
        <f t="shared" si="73"/>
        <v>-11777.677721590211</v>
      </c>
      <c r="S53" s="23">
        <f t="shared" si="73"/>
        <v>-11834.589319548082</v>
      </c>
      <c r="T53" s="23">
        <f t="shared" si="73"/>
        <v>-12189.626999134525</v>
      </c>
      <c r="U53" s="23">
        <f t="shared" si="73"/>
        <v>-12023.518620775503</v>
      </c>
      <c r="V53" s="23">
        <f t="shared" si="73"/>
        <v>-11894.970766132355</v>
      </c>
      <c r="W53" s="23">
        <f t="shared" si="73"/>
        <v>-12251.819889116328</v>
      </c>
      <c r="X53" s="23">
        <f t="shared" si="73"/>
        <v>-12619.374485789816</v>
      </c>
      <c r="Y53" s="23">
        <f t="shared" si="73"/>
        <v>-12632.60771630391</v>
      </c>
      <c r="Z53" s="23">
        <f t="shared" si="73"/>
        <v>-12268.277323852713</v>
      </c>
      <c r="AA53" s="23">
        <f t="shared" si="73"/>
        <v>-12261.712260179253</v>
      </c>
      <c r="AB53" s="23">
        <f t="shared" si="73"/>
        <v>-12284.10879525563</v>
      </c>
      <c r="AC53" s="23">
        <f t="shared" si="73"/>
        <v>-12261.00567872138</v>
      </c>
      <c r="AD53" s="23">
        <f t="shared" si="73"/>
        <v>-12560.932549544286</v>
      </c>
      <c r="AE53" s="23">
        <f t="shared" si="73"/>
        <v>-12937.760526030614</v>
      </c>
      <c r="AF53" s="23">
        <f t="shared" si="73"/>
        <v>-13048.062304080984</v>
      </c>
      <c r="AG53" s="23">
        <f t="shared" si="73"/>
        <v>-13439.504173203413</v>
      </c>
      <c r="AH53" s="23">
        <f t="shared" si="73"/>
        <v>-13513.598434207681</v>
      </c>
      <c r="AI53" s="23">
        <f t="shared" si="73"/>
        <v>-13919.006387233911</v>
      </c>
      <c r="AJ53" s="23">
        <f t="shared" si="73"/>
        <v>-14264.155526913415</v>
      </c>
      <c r="AK53" s="23">
        <f t="shared" si="73"/>
        <v>-14404.395014516216</v>
      </c>
      <c r="AL53" s="23">
        <f t="shared" si="73"/>
        <v>-14571.856501003471</v>
      </c>
      <c r="AM53" s="23">
        <f t="shared" si="72"/>
        <v>-15009.012196033573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06761DFD-42CB-4DD5-AF14-AD9888627DAF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E895-679B-42CC-87F6-AE3E7DE597F0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56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15000</v>
      </c>
      <c r="E14" s="18">
        <f>D14*(0.85)</f>
        <v>12750</v>
      </c>
      <c r="F14" s="18">
        <v>13132.5</v>
      </c>
      <c r="G14" s="18">
        <v>13526.475</v>
      </c>
      <c r="H14" s="18">
        <v>13932.269250000001</v>
      </c>
      <c r="I14" s="18">
        <v>14350.237327500001</v>
      </c>
      <c r="J14" s="18">
        <v>14780.744447325002</v>
      </c>
      <c r="K14" s="18">
        <v>15224.166780744752</v>
      </c>
      <c r="L14" s="18">
        <v>15680.891784167095</v>
      </c>
      <c r="M14" s="18">
        <f t="shared" ref="M14:N14" si="41">L14*(0.85)</f>
        <v>13328.758016542031</v>
      </c>
      <c r="N14" s="18">
        <f t="shared" si="41"/>
        <v>11329.444314060725</v>
      </c>
      <c r="O14" s="18">
        <v>11669.327643482548</v>
      </c>
      <c r="P14" s="18">
        <v>12019.407472787025</v>
      </c>
      <c r="Q14" s="18">
        <v>12379.989696970635</v>
      </c>
      <c r="R14" s="18">
        <v>12751.389387879755</v>
      </c>
      <c r="S14" s="18">
        <v>13133.931069516148</v>
      </c>
      <c r="T14" s="18">
        <f t="shared" ref="T14:U14" si="42">S14*(0.85)</f>
        <v>11163.841409088725</v>
      </c>
      <c r="U14" s="18">
        <f t="shared" si="42"/>
        <v>9489.2651977254172</v>
      </c>
      <c r="V14" s="18">
        <v>9773.9431536571792</v>
      </c>
      <c r="W14" s="18">
        <v>10067.161448266896</v>
      </c>
      <c r="X14" s="18">
        <v>10369.176291714903</v>
      </c>
      <c r="Y14" s="18">
        <v>10680.251580466351</v>
      </c>
      <c r="Z14" s="18">
        <f t="shared" ref="Z14:AA14" si="43">Y14*(0.85)</f>
        <v>9078.2138433963974</v>
      </c>
      <c r="AA14" s="18">
        <f t="shared" si="43"/>
        <v>7716.4817668869373</v>
      </c>
      <c r="AB14" s="18">
        <v>7947.9762198935459</v>
      </c>
      <c r="AC14" s="18">
        <v>8186.4155064903525</v>
      </c>
      <c r="AD14" s="18">
        <v>8432.0079716850632</v>
      </c>
      <c r="AE14" s="18">
        <f t="shared" ref="AE14:AF14" si="44">AD14*(0.85)</f>
        <v>7167.2067759323036</v>
      </c>
      <c r="AF14" s="18">
        <f t="shared" si="44"/>
        <v>6092.1257595424577</v>
      </c>
      <c r="AG14" s="18">
        <v>6274.8895323287315</v>
      </c>
      <c r="AH14" s="18">
        <v>6463.136218298594</v>
      </c>
      <c r="AI14" s="18">
        <v>6657.0303048475516</v>
      </c>
      <c r="AJ14" s="18">
        <v>6856.7412139929784</v>
      </c>
      <c r="AK14" s="18">
        <v>7062.4434504127676</v>
      </c>
      <c r="AL14" s="18">
        <f t="shared" ref="AL14:AM14" si="45">AK14*(0.85)</f>
        <v>6003.0769328508522</v>
      </c>
      <c r="AM14" s="18">
        <f t="shared" si="45"/>
        <v>5102.6153929232241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5000</v>
      </c>
      <c r="E16" s="18">
        <v>5150</v>
      </c>
      <c r="F16" s="18">
        <v>5304.5</v>
      </c>
      <c r="G16" s="18">
        <f>F16*(0.9)</f>
        <v>4774.05</v>
      </c>
      <c r="H16" s="18">
        <v>4917.2715000000007</v>
      </c>
      <c r="I16" s="18">
        <v>5064.7896450000007</v>
      </c>
      <c r="J16" s="18">
        <v>5216.7333343500013</v>
      </c>
      <c r="K16" s="18">
        <v>5373.2353343805016</v>
      </c>
      <c r="L16" s="18">
        <v>5534.4323944119169</v>
      </c>
      <c r="M16" s="18">
        <v>5700.4653662442743</v>
      </c>
      <c r="N16" s="18">
        <f>M16*(0.9)</f>
        <v>5130.4188296198472</v>
      </c>
      <c r="O16" s="18">
        <v>5284.3313945084428</v>
      </c>
      <c r="P16" s="18">
        <v>5442.8613363436962</v>
      </c>
      <c r="Q16" s="18">
        <v>5606.1471764340076</v>
      </c>
      <c r="R16" s="18">
        <f t="shared" ref="R16:S16" si="46">Q16*(0.9)</f>
        <v>5045.5324587906071</v>
      </c>
      <c r="S16" s="18">
        <f t="shared" si="46"/>
        <v>4540.9792129115467</v>
      </c>
      <c r="T16" s="18">
        <v>4677.2085892988935</v>
      </c>
      <c r="U16" s="18">
        <v>4817.5248469778608</v>
      </c>
      <c r="V16" s="18">
        <v>4962.050592387197</v>
      </c>
      <c r="W16" s="18">
        <f t="shared" ref="W16:X16" si="47">V16*(0.9)</f>
        <v>4465.8455331484774</v>
      </c>
      <c r="X16" s="18">
        <f t="shared" si="47"/>
        <v>4019.2609798336298</v>
      </c>
      <c r="Y16" s="18">
        <v>4139.8388092286386</v>
      </c>
      <c r="Z16" s="18">
        <v>4264.0339735054977</v>
      </c>
      <c r="AA16" s="18">
        <v>4391.9549927106627</v>
      </c>
      <c r="AB16" s="18">
        <v>4523.7136424919827</v>
      </c>
      <c r="AC16" s="18">
        <f t="shared" ref="AC16:AD16" si="48">AB16*(0.9)</f>
        <v>4071.3422782427847</v>
      </c>
      <c r="AD16" s="18">
        <f t="shared" si="48"/>
        <v>3664.2080504185064</v>
      </c>
      <c r="AE16" s="18">
        <v>3774.1342919310619</v>
      </c>
      <c r="AF16" s="18">
        <v>3887.3583206889939</v>
      </c>
      <c r="AG16" s="18">
        <f t="shared" ref="AG16:AH16" si="49">AF16*(0.9)</f>
        <v>3498.6224886200944</v>
      </c>
      <c r="AH16" s="18">
        <f t="shared" si="49"/>
        <v>3148.7602397580849</v>
      </c>
      <c r="AI16" s="18">
        <v>3243.2230469508277</v>
      </c>
      <c r="AJ16" s="18">
        <v>3340.5197383593527</v>
      </c>
      <c r="AK16" s="18">
        <v>3440.7353305101333</v>
      </c>
      <c r="AL16" s="18">
        <f>AK16*(0.9)</f>
        <v>3096.66179745912</v>
      </c>
      <c r="AM16" s="18">
        <v>3189.5616513828936</v>
      </c>
    </row>
    <row r="17" spans="2:39" s="17" customFormat="1" ht="21" customHeight="1" x14ac:dyDescent="0.3">
      <c r="B17" s="4" t="s">
        <v>15</v>
      </c>
      <c r="C17" s="15"/>
      <c r="D17" s="18">
        <v>2500</v>
      </c>
      <c r="E17" s="18">
        <v>2575</v>
      </c>
      <c r="F17" s="18">
        <f>E17*(0.9)</f>
        <v>2317.5</v>
      </c>
      <c r="G17" s="18">
        <v>2387.0250000000001</v>
      </c>
      <c r="H17" s="18">
        <v>2458.6357500000004</v>
      </c>
      <c r="I17" s="18">
        <f>H17*(0.9)</f>
        <v>2212.7721750000005</v>
      </c>
      <c r="J17" s="18">
        <v>2279.1553402500008</v>
      </c>
      <c r="K17" s="18">
        <v>2347.530000457501</v>
      </c>
      <c r="L17" s="18">
        <v>2417.955900471226</v>
      </c>
      <c r="M17" s="18">
        <v>2490.4945774853627</v>
      </c>
      <c r="N17" s="18">
        <v>2565.2094148099236</v>
      </c>
      <c r="O17" s="18">
        <v>2642.1656972542214</v>
      </c>
      <c r="P17" s="18">
        <v>2721.4306681718481</v>
      </c>
      <c r="Q17" s="18">
        <v>2803.0735882170038</v>
      </c>
      <c r="R17" s="18">
        <f>Q17*(0.9)</f>
        <v>2522.7662293953035</v>
      </c>
      <c r="S17" s="18">
        <v>2598.4492162771626</v>
      </c>
      <c r="T17" s="18">
        <v>2676.4026927654777</v>
      </c>
      <c r="U17" s="18">
        <v>2756.6947735484423</v>
      </c>
      <c r="V17" s="18">
        <v>2839.3956167548959</v>
      </c>
      <c r="W17" s="18">
        <f t="shared" ref="W17:X17" si="50">V17*(0.9)</f>
        <v>2555.4560550794063</v>
      </c>
      <c r="X17" s="18">
        <f t="shared" si="50"/>
        <v>2299.9104495714655</v>
      </c>
      <c r="Y17" s="18">
        <v>2368.9077630586094</v>
      </c>
      <c r="Z17" s="18">
        <v>2439.9749959503679</v>
      </c>
      <c r="AA17" s="18">
        <v>2513.1742458288791</v>
      </c>
      <c r="AB17" s="18">
        <f t="shared" ref="AB17:AC17" si="51">AA17*(0.9)</f>
        <v>2261.8568212459913</v>
      </c>
      <c r="AC17" s="18">
        <f t="shared" si="51"/>
        <v>2035.6711391213923</v>
      </c>
      <c r="AD17" s="18">
        <v>2096.7412732950343</v>
      </c>
      <c r="AE17" s="18">
        <v>2159.6435114938854</v>
      </c>
      <c r="AF17" s="18">
        <v>2224.4328168387019</v>
      </c>
      <c r="AG17" s="18">
        <v>2291.1658013438632</v>
      </c>
      <c r="AH17" s="18">
        <f>AG17*(0.9)</f>
        <v>2062.0492212094769</v>
      </c>
      <c r="AI17" s="18">
        <v>2123.9106978457612</v>
      </c>
      <c r="AJ17" s="18">
        <v>2187.628018781134</v>
      </c>
      <c r="AK17" s="18">
        <v>2253.2568593445681</v>
      </c>
      <c r="AL17" s="18">
        <v>2320.8545651249051</v>
      </c>
      <c r="AM17" s="18">
        <f>AL17*(0.9)</f>
        <v>2088.7691086124146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650</v>
      </c>
      <c r="E20" s="18">
        <v>669.5</v>
      </c>
      <c r="F20" s="18">
        <v>689.58500000000004</v>
      </c>
      <c r="G20" s="18">
        <v>710.27255000000002</v>
      </c>
      <c r="H20" s="18">
        <v>731.58072650000008</v>
      </c>
      <c r="I20" s="18">
        <v>753.52814829500005</v>
      </c>
      <c r="J20" s="18">
        <v>776.13399274385006</v>
      </c>
      <c r="K20" s="18">
        <v>799.41801252616563</v>
      </c>
      <c r="L20" s="18">
        <v>823.40055290195062</v>
      </c>
      <c r="M20" s="18">
        <v>848.10256948900917</v>
      </c>
      <c r="N20" s="18">
        <v>873.54564657367951</v>
      </c>
      <c r="O20" s="18">
        <v>899.75201597088994</v>
      </c>
      <c r="P20" s="18">
        <v>926.74457645001667</v>
      </c>
      <c r="Q20" s="18">
        <v>954.54691374351717</v>
      </c>
      <c r="R20" s="18">
        <v>983.18332115582268</v>
      </c>
      <c r="S20" s="18">
        <v>1012.6788207904974</v>
      </c>
      <c r="T20" s="18">
        <v>1043.0591854142124</v>
      </c>
      <c r="U20" s="18">
        <v>1074.3509609766388</v>
      </c>
      <c r="V20" s="18">
        <v>1106.581489805938</v>
      </c>
      <c r="W20" s="18">
        <v>1139.7789345001161</v>
      </c>
      <c r="X20" s="18">
        <v>1173.9723025351195</v>
      </c>
      <c r="Y20" s="18">
        <v>1209.191471611173</v>
      </c>
      <c r="Z20" s="18">
        <v>1245.4672157595082</v>
      </c>
      <c r="AA20" s="18">
        <v>1282.8312322322936</v>
      </c>
      <c r="AB20" s="18">
        <v>1321.3161691992625</v>
      </c>
      <c r="AC20" s="18">
        <v>1360.9556542752405</v>
      </c>
      <c r="AD20" s="18">
        <v>1401.7843239034978</v>
      </c>
      <c r="AE20" s="18">
        <v>1443.8378536206028</v>
      </c>
      <c r="AF20" s="18">
        <v>1487.152989229221</v>
      </c>
      <c r="AG20" s="18">
        <v>1531.7675789060977</v>
      </c>
      <c r="AH20" s="18">
        <v>1577.7206062732807</v>
      </c>
      <c r="AI20" s="18">
        <v>1625.0522244614792</v>
      </c>
      <c r="AJ20" s="18">
        <v>1673.8037911953236</v>
      </c>
      <c r="AK20" s="18">
        <v>1724.0179049311832</v>
      </c>
      <c r="AL20" s="18">
        <v>1775.7384420791188</v>
      </c>
      <c r="AM20" s="18">
        <v>1829.0105953414925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52">SUM(D22, D21, D20 + D19)</f>
        <v>650</v>
      </c>
      <c r="E23" s="19">
        <f t="shared" ref="E23:AL23" si="53">SUM(E22, E21, E20 + E19)</f>
        <v>669.5</v>
      </c>
      <c r="F23" s="19">
        <f t="shared" si="53"/>
        <v>689.58500000000004</v>
      </c>
      <c r="G23" s="19">
        <f t="shared" si="53"/>
        <v>710.27255000000002</v>
      </c>
      <c r="H23" s="19">
        <f t="shared" si="53"/>
        <v>731.58072650000008</v>
      </c>
      <c r="I23" s="19">
        <f t="shared" si="53"/>
        <v>753.52814829500005</v>
      </c>
      <c r="J23" s="19">
        <f t="shared" si="53"/>
        <v>776.13399274385006</v>
      </c>
      <c r="K23" s="19">
        <f t="shared" si="53"/>
        <v>799.41801252616563</v>
      </c>
      <c r="L23" s="19">
        <f t="shared" si="53"/>
        <v>823.40055290195062</v>
      </c>
      <c r="M23" s="19">
        <f t="shared" si="53"/>
        <v>848.10256948900917</v>
      </c>
      <c r="N23" s="19">
        <f t="shared" si="53"/>
        <v>873.54564657367951</v>
      </c>
      <c r="O23" s="19">
        <f t="shared" si="53"/>
        <v>899.75201597088994</v>
      </c>
      <c r="P23" s="19">
        <f t="shared" si="53"/>
        <v>926.74457645001667</v>
      </c>
      <c r="Q23" s="19">
        <f t="shared" si="53"/>
        <v>954.54691374351717</v>
      </c>
      <c r="R23" s="19">
        <f t="shared" si="53"/>
        <v>983.18332115582268</v>
      </c>
      <c r="S23" s="19">
        <f t="shared" si="53"/>
        <v>1012.6788207904974</v>
      </c>
      <c r="T23" s="19">
        <f t="shared" si="53"/>
        <v>1043.0591854142124</v>
      </c>
      <c r="U23" s="19">
        <f t="shared" si="53"/>
        <v>1074.3509609766388</v>
      </c>
      <c r="V23" s="19">
        <f t="shared" si="53"/>
        <v>1106.581489805938</v>
      </c>
      <c r="W23" s="19">
        <f t="shared" si="53"/>
        <v>1139.7789345001161</v>
      </c>
      <c r="X23" s="19">
        <f t="shared" si="53"/>
        <v>1173.9723025351195</v>
      </c>
      <c r="Y23" s="19">
        <f t="shared" si="53"/>
        <v>1209.191471611173</v>
      </c>
      <c r="Z23" s="19">
        <f t="shared" si="53"/>
        <v>1245.4672157595082</v>
      </c>
      <c r="AA23" s="19">
        <f t="shared" si="53"/>
        <v>1282.8312322322936</v>
      </c>
      <c r="AB23" s="19">
        <f t="shared" si="53"/>
        <v>1321.3161691992625</v>
      </c>
      <c r="AC23" s="19">
        <f t="shared" si="53"/>
        <v>1360.9556542752405</v>
      </c>
      <c r="AD23" s="19">
        <f t="shared" si="53"/>
        <v>1401.7843239034978</v>
      </c>
      <c r="AE23" s="19">
        <f t="shared" si="53"/>
        <v>1443.8378536206028</v>
      </c>
      <c r="AF23" s="19">
        <f t="shared" si="53"/>
        <v>1487.152989229221</v>
      </c>
      <c r="AG23" s="19">
        <f t="shared" si="53"/>
        <v>1531.7675789060977</v>
      </c>
      <c r="AH23" s="19">
        <f t="shared" si="53"/>
        <v>1577.7206062732807</v>
      </c>
      <c r="AI23" s="19">
        <f t="shared" si="53"/>
        <v>1625.0522244614792</v>
      </c>
      <c r="AJ23" s="19">
        <f t="shared" si="53"/>
        <v>1673.8037911953236</v>
      </c>
      <c r="AK23" s="19">
        <f t="shared" si="53"/>
        <v>1724.0179049311832</v>
      </c>
      <c r="AL23" s="19">
        <f t="shared" si="53"/>
        <v>1775.7384420791188</v>
      </c>
      <c r="AM23" s="19">
        <f t="shared" si="52"/>
        <v>1829.0105953414925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1000</v>
      </c>
      <c r="E28" s="18">
        <v>1030</v>
      </c>
      <c r="F28" s="18">
        <v>1060.9000000000001</v>
      </c>
      <c r="G28" s="18">
        <v>1092.7270000000001</v>
      </c>
      <c r="H28" s="18">
        <f>G28*(0.9)</f>
        <v>983.4543000000001</v>
      </c>
      <c r="I28" s="18">
        <v>1012.9579290000001</v>
      </c>
      <c r="J28" s="18">
        <v>1043.3466668700003</v>
      </c>
      <c r="K28" s="18">
        <v>1074.6470668761003</v>
      </c>
      <c r="L28" s="18">
        <v>1106.8864788823835</v>
      </c>
      <c r="M28" s="18">
        <v>1140.093073248855</v>
      </c>
      <c r="N28" s="18">
        <v>1174.2958654463207</v>
      </c>
      <c r="O28" s="18">
        <v>1209.5247414097103</v>
      </c>
      <c r="P28" s="18">
        <v>1245.8104836520015</v>
      </c>
      <c r="Q28" s="18">
        <f>P28*(0.9)</f>
        <v>1121.2294352868014</v>
      </c>
      <c r="R28" s="18">
        <v>1154.8663183454055</v>
      </c>
      <c r="S28" s="18">
        <v>1189.5123078957677</v>
      </c>
      <c r="T28" s="18">
        <v>1225.1976771326408</v>
      </c>
      <c r="U28" s="18">
        <v>1261.95360744662</v>
      </c>
      <c r="V28" s="18">
        <v>1299.8122156700188</v>
      </c>
      <c r="W28" s="18">
        <v>1338.8065821401194</v>
      </c>
      <c r="X28" s="18">
        <v>1378.9707796043231</v>
      </c>
      <c r="Y28" s="18">
        <v>1420.3399029924528</v>
      </c>
      <c r="Z28" s="18">
        <f>Y28*(0.9)</f>
        <v>1278.3059126932076</v>
      </c>
      <c r="AA28" s="18">
        <v>1316.6550900740037</v>
      </c>
      <c r="AB28" s="18">
        <v>1356.1547427762239</v>
      </c>
      <c r="AC28" s="18">
        <v>1396.8393850595107</v>
      </c>
      <c r="AD28" s="18">
        <v>1438.744566611296</v>
      </c>
      <c r="AE28" s="18">
        <v>1481.906903609635</v>
      </c>
      <c r="AF28" s="18">
        <f>AE28*(0.9)</f>
        <v>1333.7162132486715</v>
      </c>
      <c r="AG28" s="18">
        <v>1373.7276996461317</v>
      </c>
      <c r="AH28" s="18">
        <v>1414.9395306355157</v>
      </c>
      <c r="AI28" s="18">
        <v>1457.3877165545812</v>
      </c>
      <c r="AJ28" s="18">
        <v>1501.1093480512186</v>
      </c>
      <c r="AK28" s="18">
        <v>1546.1426284927552</v>
      </c>
      <c r="AL28" s="18">
        <f>AK28*(0.9)</f>
        <v>1391.5283656434797</v>
      </c>
      <c r="AM28" s="18">
        <v>1433.2742166127841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4">SUM(D28, D27, D26, D25 + D24)</f>
        <v>1000</v>
      </c>
      <c r="E29" s="19">
        <f t="shared" ref="E29:AL29" si="55">SUM(E28, E27, E26, E25 + E24)</f>
        <v>1030</v>
      </c>
      <c r="F29" s="19">
        <f t="shared" si="55"/>
        <v>1060.9000000000001</v>
      </c>
      <c r="G29" s="19">
        <f t="shared" si="55"/>
        <v>1092.7270000000001</v>
      </c>
      <c r="H29" s="19">
        <f t="shared" si="55"/>
        <v>983.4543000000001</v>
      </c>
      <c r="I29" s="19">
        <f t="shared" si="55"/>
        <v>1012.9579290000001</v>
      </c>
      <c r="J29" s="19">
        <f t="shared" si="55"/>
        <v>1043.3466668700003</v>
      </c>
      <c r="K29" s="19">
        <f t="shared" si="55"/>
        <v>1074.6470668761003</v>
      </c>
      <c r="L29" s="19">
        <f t="shared" si="55"/>
        <v>1106.8864788823835</v>
      </c>
      <c r="M29" s="19">
        <f t="shared" si="55"/>
        <v>1140.093073248855</v>
      </c>
      <c r="N29" s="19">
        <f t="shared" si="55"/>
        <v>1174.2958654463207</v>
      </c>
      <c r="O29" s="19">
        <f t="shared" si="55"/>
        <v>1209.5247414097103</v>
      </c>
      <c r="P29" s="19">
        <f t="shared" si="55"/>
        <v>1245.8104836520015</v>
      </c>
      <c r="Q29" s="19">
        <f t="shared" si="55"/>
        <v>1121.2294352868014</v>
      </c>
      <c r="R29" s="19">
        <f t="shared" si="55"/>
        <v>1154.8663183454055</v>
      </c>
      <c r="S29" s="19">
        <f t="shared" si="55"/>
        <v>1189.5123078957677</v>
      </c>
      <c r="T29" s="19">
        <f t="shared" si="55"/>
        <v>1225.1976771326408</v>
      </c>
      <c r="U29" s="19">
        <f t="shared" si="55"/>
        <v>1261.95360744662</v>
      </c>
      <c r="V29" s="19">
        <f t="shared" si="55"/>
        <v>1299.8122156700188</v>
      </c>
      <c r="W29" s="19">
        <f t="shared" si="55"/>
        <v>1338.8065821401194</v>
      </c>
      <c r="X29" s="19">
        <f t="shared" si="55"/>
        <v>1378.9707796043231</v>
      </c>
      <c r="Y29" s="19">
        <f t="shared" si="55"/>
        <v>1420.3399029924528</v>
      </c>
      <c r="Z29" s="19">
        <f t="shared" si="55"/>
        <v>1278.3059126932076</v>
      </c>
      <c r="AA29" s="19">
        <f t="shared" si="55"/>
        <v>1316.6550900740037</v>
      </c>
      <c r="AB29" s="19">
        <f t="shared" si="55"/>
        <v>1356.1547427762239</v>
      </c>
      <c r="AC29" s="19">
        <f t="shared" si="55"/>
        <v>1396.8393850595107</v>
      </c>
      <c r="AD29" s="19">
        <f t="shared" si="55"/>
        <v>1438.744566611296</v>
      </c>
      <c r="AE29" s="19">
        <f t="shared" si="55"/>
        <v>1481.906903609635</v>
      </c>
      <c r="AF29" s="19">
        <f t="shared" si="55"/>
        <v>1333.7162132486715</v>
      </c>
      <c r="AG29" s="19">
        <f t="shared" si="55"/>
        <v>1373.7276996461317</v>
      </c>
      <c r="AH29" s="19">
        <f t="shared" si="55"/>
        <v>1414.9395306355157</v>
      </c>
      <c r="AI29" s="19">
        <f t="shared" si="55"/>
        <v>1457.3877165545812</v>
      </c>
      <c r="AJ29" s="19">
        <f t="shared" si="55"/>
        <v>1501.1093480512186</v>
      </c>
      <c r="AK29" s="19">
        <f t="shared" si="55"/>
        <v>1546.1426284927552</v>
      </c>
      <c r="AL29" s="19">
        <f t="shared" si="55"/>
        <v>1391.5283656434797</v>
      </c>
      <c r="AM29" s="19">
        <f t="shared" si="54"/>
        <v>1433.2742166127841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15000</v>
      </c>
      <c r="E31" s="18">
        <v>15450</v>
      </c>
      <c r="F31" s="18">
        <f>E31*(0.7)</f>
        <v>10815</v>
      </c>
      <c r="G31" s="18">
        <v>11139.45</v>
      </c>
      <c r="H31" s="18">
        <v>11473.633500000002</v>
      </c>
      <c r="I31" s="18">
        <v>11817.842505000002</v>
      </c>
      <c r="J31" s="18">
        <v>12172.377780150002</v>
      </c>
      <c r="K31" s="18">
        <v>12537.549113554502</v>
      </c>
      <c r="L31" s="18">
        <v>12913.675586961137</v>
      </c>
      <c r="M31" s="18">
        <f>L31*(0.7)</f>
        <v>9039.5729108727955</v>
      </c>
      <c r="N31" s="18">
        <v>9310.7600981989799</v>
      </c>
      <c r="O31" s="18">
        <v>9590.0829011449496</v>
      </c>
      <c r="P31" s="18">
        <v>9877.785388179298</v>
      </c>
      <c r="Q31" s="18">
        <v>10174.118949824677</v>
      </c>
      <c r="R31" s="18">
        <v>10479.342518319418</v>
      </c>
      <c r="S31" s="18">
        <v>10793.722793869001</v>
      </c>
      <c r="T31" s="18">
        <v>11117.534477685071</v>
      </c>
      <c r="U31" s="18">
        <v>11451.060512015623</v>
      </c>
      <c r="V31" s="18">
        <v>11794.592327376093</v>
      </c>
      <c r="W31" s="18">
        <f>V31*(0.7)</f>
        <v>8256.2146291632653</v>
      </c>
      <c r="X31" s="18">
        <v>8503.9010680381634</v>
      </c>
      <c r="Y31" s="18">
        <v>8759.0181000793091</v>
      </c>
      <c r="Z31" s="18">
        <v>9021.7886430816889</v>
      </c>
      <c r="AA31" s="18">
        <v>9292.4423023741401</v>
      </c>
      <c r="AB31" s="18">
        <v>9571.2155714453638</v>
      </c>
      <c r="AC31" s="18">
        <v>9858.3520385887241</v>
      </c>
      <c r="AD31" s="18">
        <v>10154.102599746386</v>
      </c>
      <c r="AE31" s="18">
        <v>10458.725677738777</v>
      </c>
      <c r="AF31" s="18">
        <v>10772.48744807094</v>
      </c>
      <c r="AG31" s="18">
        <v>11095.662071513068</v>
      </c>
      <c r="AH31" s="18">
        <f>AG31*(0.7)</f>
        <v>7766.9634500591474</v>
      </c>
      <c r="AI31" s="18">
        <v>7999.9723535609219</v>
      </c>
      <c r="AJ31" s="18">
        <v>8239.9715241677495</v>
      </c>
      <c r="AK31" s="18">
        <v>8487.1706698927828</v>
      </c>
      <c r="AL31" s="18">
        <v>8741.7857899895662</v>
      </c>
      <c r="AM31" s="18">
        <f>AL31*(0.7)</f>
        <v>6119.2500529926956</v>
      </c>
    </row>
    <row r="32" spans="2:39" s="17" customFormat="1" ht="21" customHeight="1" x14ac:dyDescent="0.3">
      <c r="B32" s="7" t="s">
        <v>30</v>
      </c>
      <c r="C32" s="15"/>
      <c r="D32" s="18">
        <v>1500</v>
      </c>
      <c r="E32" s="18">
        <v>1545</v>
      </c>
      <c r="F32" s="18">
        <v>1591.3500000000001</v>
      </c>
      <c r="G32" s="18">
        <v>1639.0905000000002</v>
      </c>
      <c r="H32" s="18">
        <f>G32*(0.7)</f>
        <v>1147.3633500000001</v>
      </c>
      <c r="I32" s="18">
        <v>1181.7842505000001</v>
      </c>
      <c r="J32" s="18">
        <v>1217.2377780150002</v>
      </c>
      <c r="K32" s="18">
        <v>1253.7549113554503</v>
      </c>
      <c r="L32" s="18">
        <v>1291.3675586961137</v>
      </c>
      <c r="M32" s="18">
        <f>L32*(0.7)</f>
        <v>903.9572910872796</v>
      </c>
      <c r="N32" s="18">
        <v>931.07600981989799</v>
      </c>
      <c r="O32" s="18">
        <v>959.00829011449491</v>
      </c>
      <c r="P32" s="18">
        <v>987.77853881792976</v>
      </c>
      <c r="Q32" s="18">
        <v>1017.4118949824676</v>
      </c>
      <c r="R32" s="18">
        <v>1047.9342518319418</v>
      </c>
      <c r="S32" s="18">
        <v>1079.3722793869001</v>
      </c>
      <c r="T32" s="18">
        <f>S32*(0.7)</f>
        <v>755.56059557083006</v>
      </c>
      <c r="U32" s="18">
        <v>778.22741343795497</v>
      </c>
      <c r="V32" s="18">
        <v>801.57423584109358</v>
      </c>
      <c r="W32" s="18">
        <f>V32*(0.7)</f>
        <v>561.1019650887655</v>
      </c>
      <c r="X32" s="18">
        <v>577.93502404142851</v>
      </c>
      <c r="Y32" s="18">
        <v>595.2730747626714</v>
      </c>
      <c r="Z32" s="18">
        <v>613.13126700555154</v>
      </c>
      <c r="AA32" s="18">
        <v>631.52520501571814</v>
      </c>
      <c r="AB32" s="18">
        <v>650.47096116618968</v>
      </c>
      <c r="AC32" s="18">
        <v>669.98509000117542</v>
      </c>
      <c r="AD32" s="18">
        <v>690.08464270121067</v>
      </c>
      <c r="AE32" s="18">
        <v>710.78718198224703</v>
      </c>
      <c r="AF32" s="18">
        <v>732.11079744171445</v>
      </c>
      <c r="AG32" s="18">
        <v>754.07412136496589</v>
      </c>
      <c r="AH32" s="18">
        <v>776.69634500591485</v>
      </c>
      <c r="AI32" s="18">
        <v>799.99723535609235</v>
      </c>
      <c r="AJ32" s="18">
        <v>823.99715241677518</v>
      </c>
      <c r="AK32" s="18">
        <v>848.71706698927846</v>
      </c>
      <c r="AL32" s="18">
        <v>874.17857899895682</v>
      </c>
      <c r="AM32" s="18">
        <v>900.40393636892554</v>
      </c>
    </row>
    <row r="33" spans="2:39" s="17" customFormat="1" ht="21" customHeight="1" x14ac:dyDescent="0.3">
      <c r="B33" s="7" t="s">
        <v>31</v>
      </c>
      <c r="C33" s="15"/>
      <c r="D33" s="18">
        <v>1450</v>
      </c>
      <c r="E33" s="18">
        <v>1493.5</v>
      </c>
      <c r="F33" s="18">
        <v>1538.3050000000001</v>
      </c>
      <c r="G33" s="18">
        <v>1584.45415</v>
      </c>
      <c r="H33" s="18">
        <v>1631.9877745000001</v>
      </c>
      <c r="I33" s="18">
        <v>1680.9474077350001</v>
      </c>
      <c r="J33" s="18">
        <f>I33*(0.7)</f>
        <v>1176.6631854145</v>
      </c>
      <c r="K33" s="18">
        <v>1211.9630809769351</v>
      </c>
      <c r="L33" s="18">
        <v>1248.3219734062432</v>
      </c>
      <c r="M33" s="18">
        <v>1285.7716326084305</v>
      </c>
      <c r="N33" s="18">
        <v>1324.3447815866834</v>
      </c>
      <c r="O33" s="18">
        <f>N33*(0.7)</f>
        <v>927.04134711067832</v>
      </c>
      <c r="P33" s="18">
        <v>954.85258752399864</v>
      </c>
      <c r="Q33" s="18">
        <v>983.4981651497186</v>
      </c>
      <c r="R33" s="18">
        <v>1013.0031101042102</v>
      </c>
      <c r="S33" s="18">
        <v>1043.3932034073366</v>
      </c>
      <c r="T33" s="18">
        <f>S33*(0.7)</f>
        <v>730.37524238513561</v>
      </c>
      <c r="U33" s="18">
        <v>752.28649965668967</v>
      </c>
      <c r="V33" s="18">
        <v>774.8550946463904</v>
      </c>
      <c r="W33" s="18">
        <v>798.10074748578211</v>
      </c>
      <c r="X33" s="18">
        <f>W33*(0.7)</f>
        <v>558.67052324004749</v>
      </c>
      <c r="Y33" s="18">
        <v>575.43063893724889</v>
      </c>
      <c r="Z33" s="18">
        <v>592.69355810536638</v>
      </c>
      <c r="AA33" s="18">
        <v>610.47436484852733</v>
      </c>
      <c r="AB33" s="18">
        <v>628.78859579398318</v>
      </c>
      <c r="AC33" s="18">
        <v>647.65225366780271</v>
      </c>
      <c r="AD33" s="18">
        <v>667.08182127783687</v>
      </c>
      <c r="AE33" s="18">
        <v>687.09427591617202</v>
      </c>
      <c r="AF33" s="18">
        <v>707.70710419365719</v>
      </c>
      <c r="AG33" s="18">
        <v>728.93831731946693</v>
      </c>
      <c r="AH33" s="18">
        <v>750.80646683905093</v>
      </c>
      <c r="AI33" s="18">
        <v>773.33066084422251</v>
      </c>
      <c r="AJ33" s="18">
        <v>796.53058066954918</v>
      </c>
      <c r="AK33" s="18">
        <v>820.42649808963563</v>
      </c>
      <c r="AL33" s="18">
        <v>845.03929303232474</v>
      </c>
      <c r="AM33" s="18">
        <v>870.39047182329455</v>
      </c>
    </row>
    <row r="34" spans="2:39" s="17" customFormat="1" ht="21" customHeight="1" x14ac:dyDescent="0.3">
      <c r="B34" s="7" t="s">
        <v>32</v>
      </c>
      <c r="C34" s="15"/>
      <c r="D34" s="18">
        <v>50</v>
      </c>
      <c r="E34" s="18">
        <v>51.5</v>
      </c>
      <c r="F34" s="18">
        <v>53.045000000000002</v>
      </c>
      <c r="G34" s="18">
        <v>54.63635</v>
      </c>
      <c r="H34" s="18">
        <v>56.275440500000002</v>
      </c>
      <c r="I34" s="18">
        <v>57.963703715000001</v>
      </c>
      <c r="J34" s="18">
        <v>59.702614826450002</v>
      </c>
      <c r="K34" s="18">
        <v>61.493693271243501</v>
      </c>
      <c r="L34" s="18">
        <v>63.338504069380811</v>
      </c>
      <c r="M34" s="18">
        <v>65.238659191462233</v>
      </c>
      <c r="N34" s="18">
        <v>67.195818967206108</v>
      </c>
      <c r="O34" s="18">
        <v>69.211693536222299</v>
      </c>
      <c r="P34" s="18">
        <v>71.288044342308964</v>
      </c>
      <c r="Q34" s="18">
        <v>73.42668567257823</v>
      </c>
      <c r="R34" s="18">
        <v>75.629486242755576</v>
      </c>
      <c r="S34" s="18">
        <v>77.898370830038246</v>
      </c>
      <c r="T34" s="18">
        <v>80.235321954939394</v>
      </c>
      <c r="U34" s="18">
        <v>82.642381613587574</v>
      </c>
      <c r="V34" s="18">
        <v>85.121653061995204</v>
      </c>
      <c r="W34" s="18">
        <v>87.675302653855056</v>
      </c>
      <c r="X34" s="18">
        <v>90.305561733470711</v>
      </c>
      <c r="Y34" s="18">
        <v>93.014728585474828</v>
      </c>
      <c r="Z34" s="18">
        <v>95.805170443039074</v>
      </c>
      <c r="AA34" s="18">
        <v>98.679325556330255</v>
      </c>
      <c r="AB34" s="18">
        <v>101.63970532302017</v>
      </c>
      <c r="AC34" s="18">
        <v>104.68889648271077</v>
      </c>
      <c r="AD34" s="18">
        <v>107.8295633771921</v>
      </c>
      <c r="AE34" s="18">
        <v>111.06445027850786</v>
      </c>
      <c r="AF34" s="18">
        <v>114.3963837868631</v>
      </c>
      <c r="AG34" s="18">
        <v>117.82827530046899</v>
      </c>
      <c r="AH34" s="18">
        <v>121.36312355948306</v>
      </c>
      <c r="AI34" s="18">
        <v>125.00401726626755</v>
      </c>
      <c r="AJ34" s="18">
        <v>128.75413778425559</v>
      </c>
      <c r="AK34" s="18">
        <v>132.61676191778326</v>
      </c>
      <c r="AL34" s="18">
        <v>136.59526477531676</v>
      </c>
      <c r="AM34" s="18">
        <v>140.69312271857626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6">SUM(D35, D34, D33, D32, D31 + D30)</f>
        <v>18000</v>
      </c>
      <c r="E36" s="19">
        <f t="shared" ref="E36:AL36" si="57">SUM(E35, E34, E33, E32, E31 + E30)</f>
        <v>18540</v>
      </c>
      <c r="F36" s="19">
        <f t="shared" si="57"/>
        <v>13997.7</v>
      </c>
      <c r="G36" s="19">
        <f t="shared" si="57"/>
        <v>14417.631000000001</v>
      </c>
      <c r="H36" s="19">
        <f t="shared" si="57"/>
        <v>14309.260065000002</v>
      </c>
      <c r="I36" s="19">
        <f t="shared" si="57"/>
        <v>14738.537866950002</v>
      </c>
      <c r="J36" s="19">
        <f t="shared" si="57"/>
        <v>14625.981358405952</v>
      </c>
      <c r="K36" s="19">
        <f t="shared" si="57"/>
        <v>15064.760799158132</v>
      </c>
      <c r="L36" s="19">
        <f t="shared" si="57"/>
        <v>15516.703623132875</v>
      </c>
      <c r="M36" s="19">
        <f t="shared" si="57"/>
        <v>11294.540493759967</v>
      </c>
      <c r="N36" s="19">
        <f t="shared" si="57"/>
        <v>11633.376708572767</v>
      </c>
      <c r="O36" s="19">
        <f t="shared" si="57"/>
        <v>11545.344231906345</v>
      </c>
      <c r="P36" s="19">
        <f t="shared" si="57"/>
        <v>11891.704558863536</v>
      </c>
      <c r="Q36" s="19">
        <f t="shared" si="57"/>
        <v>12248.45569562944</v>
      </c>
      <c r="R36" s="19">
        <f t="shared" si="57"/>
        <v>12615.909366498325</v>
      </c>
      <c r="S36" s="19">
        <f t="shared" si="57"/>
        <v>12994.386647493277</v>
      </c>
      <c r="T36" s="19">
        <f t="shared" si="57"/>
        <v>12683.705637595976</v>
      </c>
      <c r="U36" s="19">
        <f t="shared" si="57"/>
        <v>13064.216806723856</v>
      </c>
      <c r="V36" s="19">
        <f t="shared" si="57"/>
        <v>13456.143310925572</v>
      </c>
      <c r="W36" s="19">
        <f t="shared" si="57"/>
        <v>9703.0926443916687</v>
      </c>
      <c r="X36" s="19">
        <f t="shared" si="57"/>
        <v>9730.8121770531106</v>
      </c>
      <c r="Y36" s="19">
        <f t="shared" si="57"/>
        <v>10022.736542364704</v>
      </c>
      <c r="Z36" s="19">
        <f t="shared" si="57"/>
        <v>10323.418638635645</v>
      </c>
      <c r="AA36" s="19">
        <f t="shared" si="57"/>
        <v>10633.121197794717</v>
      </c>
      <c r="AB36" s="19">
        <f t="shared" si="57"/>
        <v>10952.114833728556</v>
      </c>
      <c r="AC36" s="19">
        <f t="shared" si="57"/>
        <v>11280.678278740414</v>
      </c>
      <c r="AD36" s="19">
        <f t="shared" si="57"/>
        <v>11619.098627102625</v>
      </c>
      <c r="AE36" s="19">
        <f t="shared" si="57"/>
        <v>11967.671585915705</v>
      </c>
      <c r="AF36" s="19">
        <f t="shared" si="57"/>
        <v>12326.701733493175</v>
      </c>
      <c r="AG36" s="19">
        <f t="shared" si="57"/>
        <v>12696.502785497971</v>
      </c>
      <c r="AH36" s="19">
        <f t="shared" si="57"/>
        <v>9415.8293854635958</v>
      </c>
      <c r="AI36" s="19">
        <f t="shared" si="57"/>
        <v>9698.3042670275045</v>
      </c>
      <c r="AJ36" s="19">
        <f t="shared" si="57"/>
        <v>9989.2533950383295</v>
      </c>
      <c r="AK36" s="19">
        <f t="shared" si="57"/>
        <v>10288.93099688948</v>
      </c>
      <c r="AL36" s="19">
        <f t="shared" si="57"/>
        <v>10597.598926796165</v>
      </c>
      <c r="AM36" s="19">
        <f t="shared" si="56"/>
        <v>8030.7375839034921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875.5</v>
      </c>
      <c r="F39" s="18">
        <v>901.76499999999999</v>
      </c>
      <c r="G39" s="18">
        <v>928.81795</v>
      </c>
      <c r="H39" s="18">
        <v>956.68248849999998</v>
      </c>
      <c r="I39" s="18">
        <v>985.38296315499997</v>
      </c>
      <c r="J39" s="18">
        <v>1014.94445204965</v>
      </c>
      <c r="K39" s="18">
        <v>1045.3927856111395</v>
      </c>
      <c r="L39" s="18">
        <v>1076.7545691794737</v>
      </c>
      <c r="M39" s="18">
        <v>1109.0572062548579</v>
      </c>
      <c r="N39" s="18">
        <v>1142.3289224425037</v>
      </c>
      <c r="O39" s="18">
        <v>1176.5987901157787</v>
      </c>
      <c r="P39" s="18">
        <v>1211.8967538192521</v>
      </c>
      <c r="Q39" s="18">
        <v>1248.2536564338297</v>
      </c>
      <c r="R39" s="18">
        <v>1285.7012661268448</v>
      </c>
      <c r="S39" s="18">
        <v>1324.2723041106501</v>
      </c>
      <c r="T39" s="18">
        <v>1364.0004732339696</v>
      </c>
      <c r="U39" s="18">
        <v>1404.9204874309887</v>
      </c>
      <c r="V39" s="18">
        <v>1447.0681020539184</v>
      </c>
      <c r="W39" s="18">
        <v>1490.4801451155361</v>
      </c>
      <c r="X39" s="18">
        <v>1535.1945494690021</v>
      </c>
      <c r="Y39" s="18">
        <v>1581.2503859530723</v>
      </c>
      <c r="Z39" s="18">
        <v>1628.6878975316645</v>
      </c>
      <c r="AA39" s="18">
        <v>1677.5485344576146</v>
      </c>
      <c r="AB39" s="18">
        <v>1727.8749904913429</v>
      </c>
      <c r="AC39" s="18">
        <v>1779.7112402060832</v>
      </c>
      <c r="AD39" s="18">
        <v>1833.1025774122656</v>
      </c>
      <c r="AE39" s="18">
        <v>1888.0956547346336</v>
      </c>
      <c r="AF39" s="18">
        <v>1944.7385243766728</v>
      </c>
      <c r="AG39" s="18">
        <v>2003.080680107973</v>
      </c>
      <c r="AH39" s="18">
        <v>2063.1731005112124</v>
      </c>
      <c r="AI39" s="18">
        <v>2125.068293526549</v>
      </c>
      <c r="AJ39" s="18">
        <v>2188.8203423323457</v>
      </c>
      <c r="AK39" s="18">
        <v>2254.4849526023163</v>
      </c>
      <c r="AL39" s="18">
        <v>2322.1195011803857</v>
      </c>
      <c r="AM39" s="18">
        <v>2391.7830862157971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618</v>
      </c>
      <c r="F40" s="18">
        <v>636.54</v>
      </c>
      <c r="G40" s="18">
        <v>655.63620000000003</v>
      </c>
      <c r="H40" s="18">
        <v>675.30528600000002</v>
      </c>
      <c r="I40" s="18">
        <v>695.56444457999999</v>
      </c>
      <c r="J40" s="18">
        <v>716.43137791740003</v>
      </c>
      <c r="K40" s="18">
        <v>737.92431925492201</v>
      </c>
      <c r="L40" s="18">
        <v>760.06204883256964</v>
      </c>
      <c r="M40" s="18">
        <v>782.86391029754679</v>
      </c>
      <c r="N40" s="18">
        <v>806.34982760647324</v>
      </c>
      <c r="O40" s="18">
        <v>830.54032243466747</v>
      </c>
      <c r="P40" s="18">
        <v>855.45653210770752</v>
      </c>
      <c r="Q40" s="18">
        <v>881.12022807093877</v>
      </c>
      <c r="R40" s="18">
        <v>907.55383491306691</v>
      </c>
      <c r="S40" s="18">
        <v>934.7804499604589</v>
      </c>
      <c r="T40" s="18">
        <v>962.82386345927273</v>
      </c>
      <c r="U40" s="18">
        <v>991.70857936305094</v>
      </c>
      <c r="V40" s="18">
        <v>1021.4598367439424</v>
      </c>
      <c r="W40" s="18">
        <v>1052.1036318462607</v>
      </c>
      <c r="X40" s="18">
        <v>1083.6667408016485</v>
      </c>
      <c r="Y40" s="18">
        <v>1116.176743025698</v>
      </c>
      <c r="Z40" s="18">
        <v>1149.6620453164689</v>
      </c>
      <c r="AA40" s="18">
        <v>1184.1519066759631</v>
      </c>
      <c r="AB40" s="18">
        <v>1219.676463876242</v>
      </c>
      <c r="AC40" s="18">
        <v>1256.2667577925292</v>
      </c>
      <c r="AD40" s="18">
        <v>1293.9547605263051</v>
      </c>
      <c r="AE40" s="18">
        <v>1332.7734033420943</v>
      </c>
      <c r="AF40" s="18">
        <v>1372.7566054423571</v>
      </c>
      <c r="AG40" s="18">
        <v>1413.9393036056279</v>
      </c>
      <c r="AH40" s="18">
        <v>1456.3574827137968</v>
      </c>
      <c r="AI40" s="18">
        <v>1500.0482071952108</v>
      </c>
      <c r="AJ40" s="18">
        <v>1545.0496534110671</v>
      </c>
      <c r="AK40" s="18">
        <v>1591.4011430133992</v>
      </c>
      <c r="AL40" s="18">
        <v>1639.1431773038012</v>
      </c>
      <c r="AM40" s="18">
        <v>1688.3174726229151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257.5</v>
      </c>
      <c r="F41" s="18">
        <v>265.22500000000002</v>
      </c>
      <c r="G41" s="18">
        <v>273.18175000000002</v>
      </c>
      <c r="H41" s="18">
        <v>281.37720250000001</v>
      </c>
      <c r="I41" s="18">
        <v>289.81851857500004</v>
      </c>
      <c r="J41" s="18">
        <v>298.51307413225004</v>
      </c>
      <c r="K41" s="18">
        <v>307.46846635621756</v>
      </c>
      <c r="L41" s="18">
        <v>316.69252034690408</v>
      </c>
      <c r="M41" s="18">
        <v>326.19329595731119</v>
      </c>
      <c r="N41" s="18">
        <v>335.97909483603053</v>
      </c>
      <c r="O41" s="18">
        <v>346.05846768111144</v>
      </c>
      <c r="P41" s="18">
        <v>356.44022171154478</v>
      </c>
      <c r="Q41" s="18">
        <v>367.13342836289115</v>
      </c>
      <c r="R41" s="18">
        <v>378.14743121377791</v>
      </c>
      <c r="S41" s="18">
        <v>389.49185415019127</v>
      </c>
      <c r="T41" s="18">
        <v>401.176609774697</v>
      </c>
      <c r="U41" s="18">
        <v>413.21190806793794</v>
      </c>
      <c r="V41" s="18">
        <v>425.6082653099761</v>
      </c>
      <c r="W41" s="18">
        <v>438.37651326927539</v>
      </c>
      <c r="X41" s="18">
        <v>451.52780866735367</v>
      </c>
      <c r="Y41" s="18">
        <v>465.07364292737429</v>
      </c>
      <c r="Z41" s="18">
        <v>479.02585221519553</v>
      </c>
      <c r="AA41" s="18">
        <v>493.39662778165143</v>
      </c>
      <c r="AB41" s="18">
        <v>508.198526615101</v>
      </c>
      <c r="AC41" s="18">
        <v>523.44448241355406</v>
      </c>
      <c r="AD41" s="18">
        <v>539.14781688596065</v>
      </c>
      <c r="AE41" s="18">
        <v>555.32225139253944</v>
      </c>
      <c r="AF41" s="18">
        <v>571.98191893431567</v>
      </c>
      <c r="AG41" s="18">
        <v>589.14137650234511</v>
      </c>
      <c r="AH41" s="18">
        <v>606.81561779741548</v>
      </c>
      <c r="AI41" s="18">
        <v>625.02008633133801</v>
      </c>
      <c r="AJ41" s="18">
        <v>643.77068892127818</v>
      </c>
      <c r="AK41" s="18">
        <v>663.08380958891655</v>
      </c>
      <c r="AL41" s="18">
        <v>682.97632387658405</v>
      </c>
      <c r="AM41" s="18">
        <v>703.4656135928816</v>
      </c>
    </row>
    <row r="42" spans="2:39" s="32" customFormat="1" ht="21" customHeight="1" x14ac:dyDescent="0.3">
      <c r="B42" s="28" t="s">
        <v>40</v>
      </c>
      <c r="C42" s="29"/>
      <c r="D42" s="31">
        <f t="shared" ref="D42" si="58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9">SUM(D41, D40, D39, D38, D37, D35, D34, D33, D32, D31, D30, D28, D27, D26, D25, D24, D22, D21, D20, D19, D18, D17, D16, D15, D14 + D13)</f>
        <v>43850</v>
      </c>
      <c r="E43" s="19">
        <f t="shared" ref="E43:AL43" si="60">SUM(E41, E40, E39, E38, E37, E35, E34, E33, E32, E31, E30, E28, E27, E26, E25, E24, E22, E21, E20, E19, E18, E17, E16, E15, E14 + E13)</f>
        <v>42465.5</v>
      </c>
      <c r="F43" s="19">
        <f t="shared" si="60"/>
        <v>38306.214999999997</v>
      </c>
      <c r="G43" s="19">
        <f t="shared" si="60"/>
        <v>38765.816450000006</v>
      </c>
      <c r="H43" s="19">
        <f t="shared" si="60"/>
        <v>39245.836568500003</v>
      </c>
      <c r="I43" s="19">
        <f t="shared" si="60"/>
        <v>40103.589018055005</v>
      </c>
      <c r="J43" s="19">
        <f t="shared" si="60"/>
        <v>40751.984044044104</v>
      </c>
      <c r="K43" s="19">
        <f t="shared" si="60"/>
        <v>41974.543565365428</v>
      </c>
      <c r="L43" s="19">
        <f t="shared" si="60"/>
        <v>43233.779872326399</v>
      </c>
      <c r="M43" s="19">
        <f t="shared" si="60"/>
        <v>37020.568509279212</v>
      </c>
      <c r="N43" s="19">
        <f t="shared" si="60"/>
        <v>34990.948623968274</v>
      </c>
      <c r="O43" s="19">
        <f t="shared" si="60"/>
        <v>35603.643304763711</v>
      </c>
      <c r="P43" s="19">
        <f t="shared" si="60"/>
        <v>36671.752603906629</v>
      </c>
      <c r="Q43" s="19">
        <f t="shared" si="60"/>
        <v>37609.949819149071</v>
      </c>
      <c r="R43" s="19">
        <f t="shared" si="60"/>
        <v>37645.049614318908</v>
      </c>
      <c r="S43" s="19">
        <f t="shared" si="60"/>
        <v>38118.481883105698</v>
      </c>
      <c r="T43" s="19">
        <f t="shared" si="60"/>
        <v>36197.416137763867</v>
      </c>
      <c r="U43" s="19">
        <f t="shared" si="60"/>
        <v>35273.847168260807</v>
      </c>
      <c r="V43" s="19">
        <f t="shared" si="60"/>
        <v>36332.062583308638</v>
      </c>
      <c r="W43" s="19">
        <f t="shared" si="60"/>
        <v>32251.101487757755</v>
      </c>
      <c r="X43" s="19">
        <f t="shared" si="60"/>
        <v>32042.492079250555</v>
      </c>
      <c r="Y43" s="19">
        <f t="shared" si="60"/>
        <v>33003.766841628072</v>
      </c>
      <c r="Z43" s="19">
        <f t="shared" si="60"/>
        <v>31886.790375003955</v>
      </c>
      <c r="AA43" s="19">
        <f t="shared" si="60"/>
        <v>31209.31559444272</v>
      </c>
      <c r="AB43" s="19">
        <f t="shared" si="60"/>
        <v>31818.882410318245</v>
      </c>
      <c r="AC43" s="19">
        <f t="shared" si="60"/>
        <v>31891.324722341862</v>
      </c>
      <c r="AD43" s="19">
        <f t="shared" si="60"/>
        <v>32318.789967840556</v>
      </c>
      <c r="AE43" s="19">
        <f t="shared" si="60"/>
        <v>31770.592231972463</v>
      </c>
      <c r="AF43" s="19">
        <f t="shared" si="60"/>
        <v>31240.964881794564</v>
      </c>
      <c r="AG43" s="19">
        <f t="shared" si="60"/>
        <v>31672.837246558836</v>
      </c>
      <c r="AH43" s="19">
        <f t="shared" si="60"/>
        <v>28208.781402660974</v>
      </c>
      <c r="AI43" s="19">
        <f t="shared" si="60"/>
        <v>29055.044844740802</v>
      </c>
      <c r="AJ43" s="19">
        <f t="shared" si="60"/>
        <v>29926.696190083028</v>
      </c>
      <c r="AK43" s="19">
        <f t="shared" si="60"/>
        <v>30824.497075785523</v>
      </c>
      <c r="AL43" s="19">
        <f t="shared" si="60"/>
        <v>29829.698032314416</v>
      </c>
      <c r="AM43" s="19">
        <f t="shared" si="59"/>
        <v>26457.534721207896</v>
      </c>
    </row>
    <row r="44" spans="2:39" s="21" customFormat="1" ht="21" customHeight="1" x14ac:dyDescent="0.3">
      <c r="B44" s="5" t="s">
        <v>42</v>
      </c>
      <c r="C44" s="22"/>
      <c r="D44" s="23">
        <f t="shared" ref="D44:AM44" si="61">D12-D43</f>
        <v>-43850</v>
      </c>
      <c r="E44" s="23">
        <f t="shared" ref="E44:AL44" si="62">E12-E43</f>
        <v>-42465.5</v>
      </c>
      <c r="F44" s="23">
        <f t="shared" si="62"/>
        <v>-38306.214999999997</v>
      </c>
      <c r="G44" s="23">
        <f t="shared" si="62"/>
        <v>-38765.816450000006</v>
      </c>
      <c r="H44" s="23">
        <f t="shared" si="62"/>
        <v>-39245.836568500003</v>
      </c>
      <c r="I44" s="23">
        <f t="shared" si="62"/>
        <v>-40103.589018055005</v>
      </c>
      <c r="J44" s="23">
        <f t="shared" si="62"/>
        <v>-40751.984044044104</v>
      </c>
      <c r="K44" s="23">
        <f t="shared" si="62"/>
        <v>-41974.543565365428</v>
      </c>
      <c r="L44" s="23">
        <f t="shared" si="62"/>
        <v>-43233.779872326399</v>
      </c>
      <c r="M44" s="23">
        <f t="shared" si="62"/>
        <v>-37020.568509279212</v>
      </c>
      <c r="N44" s="23">
        <f t="shared" si="62"/>
        <v>-34990.948623968274</v>
      </c>
      <c r="O44" s="23">
        <f t="shared" si="62"/>
        <v>-35603.643304763711</v>
      </c>
      <c r="P44" s="23">
        <f t="shared" si="62"/>
        <v>-36671.752603906629</v>
      </c>
      <c r="Q44" s="23">
        <f t="shared" si="62"/>
        <v>-37609.949819149071</v>
      </c>
      <c r="R44" s="23">
        <f t="shared" si="62"/>
        <v>-37645.049614318908</v>
      </c>
      <c r="S44" s="23">
        <f t="shared" si="62"/>
        <v>-38118.481883105698</v>
      </c>
      <c r="T44" s="23">
        <f t="shared" si="62"/>
        <v>-36197.416137763867</v>
      </c>
      <c r="U44" s="23">
        <f t="shared" si="62"/>
        <v>-35273.847168260807</v>
      </c>
      <c r="V44" s="23">
        <f t="shared" si="62"/>
        <v>-36332.062583308638</v>
      </c>
      <c r="W44" s="23">
        <f t="shared" si="62"/>
        <v>-32251.101487757755</v>
      </c>
      <c r="X44" s="23">
        <f t="shared" si="62"/>
        <v>-32042.492079250555</v>
      </c>
      <c r="Y44" s="23">
        <f t="shared" si="62"/>
        <v>-33003.766841628072</v>
      </c>
      <c r="Z44" s="23">
        <f t="shared" si="62"/>
        <v>-31886.790375003955</v>
      </c>
      <c r="AA44" s="23">
        <f t="shared" si="62"/>
        <v>-31209.31559444272</v>
      </c>
      <c r="AB44" s="23">
        <f t="shared" si="62"/>
        <v>-31818.882410318245</v>
      </c>
      <c r="AC44" s="23">
        <f t="shared" si="62"/>
        <v>-31891.324722341862</v>
      </c>
      <c r="AD44" s="23">
        <f t="shared" si="62"/>
        <v>-32318.789967840556</v>
      </c>
      <c r="AE44" s="23">
        <f t="shared" si="62"/>
        <v>-31770.592231972463</v>
      </c>
      <c r="AF44" s="23">
        <f t="shared" si="62"/>
        <v>-31240.964881794564</v>
      </c>
      <c r="AG44" s="23">
        <f t="shared" si="62"/>
        <v>-31672.837246558836</v>
      </c>
      <c r="AH44" s="23">
        <f t="shared" si="62"/>
        <v>-28208.781402660974</v>
      </c>
      <c r="AI44" s="23">
        <f t="shared" si="62"/>
        <v>-29055.044844740802</v>
      </c>
      <c r="AJ44" s="23">
        <f t="shared" si="62"/>
        <v>-29926.696190083028</v>
      </c>
      <c r="AK44" s="23">
        <f t="shared" si="62"/>
        <v>-30824.497075785523</v>
      </c>
      <c r="AL44" s="23">
        <f t="shared" si="62"/>
        <v>-29829.698032314416</v>
      </c>
      <c r="AM44" s="23">
        <f t="shared" si="61"/>
        <v>-26457.534721207896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3">SUM(D46 + D45)</f>
        <v>0</v>
      </c>
      <c r="E47" s="19">
        <f t="shared" si="63"/>
        <v>0</v>
      </c>
      <c r="F47" s="19">
        <f t="shared" si="63"/>
        <v>0</v>
      </c>
      <c r="G47" s="19">
        <f t="shared" si="63"/>
        <v>0</v>
      </c>
      <c r="H47" s="19">
        <f t="shared" si="63"/>
        <v>0</v>
      </c>
      <c r="I47" s="19">
        <f t="shared" si="63"/>
        <v>0</v>
      </c>
      <c r="J47" s="19">
        <f t="shared" si="63"/>
        <v>0</v>
      </c>
      <c r="K47" s="19">
        <f t="shared" si="63"/>
        <v>0</v>
      </c>
      <c r="L47" s="19">
        <f t="shared" si="63"/>
        <v>0</v>
      </c>
      <c r="M47" s="19">
        <f t="shared" si="63"/>
        <v>0</v>
      </c>
      <c r="N47" s="19">
        <f t="shared" si="63"/>
        <v>0</v>
      </c>
      <c r="O47" s="19">
        <f t="shared" si="63"/>
        <v>0</v>
      </c>
      <c r="P47" s="19">
        <f t="shared" si="63"/>
        <v>0</v>
      </c>
      <c r="Q47" s="19">
        <f t="shared" si="63"/>
        <v>0</v>
      </c>
      <c r="R47" s="19">
        <f t="shared" si="63"/>
        <v>0</v>
      </c>
      <c r="S47" s="19">
        <f t="shared" si="63"/>
        <v>0</v>
      </c>
      <c r="T47" s="19">
        <f t="shared" si="63"/>
        <v>0</v>
      </c>
      <c r="U47" s="19">
        <f t="shared" si="63"/>
        <v>0</v>
      </c>
      <c r="V47" s="19">
        <f t="shared" si="63"/>
        <v>0</v>
      </c>
      <c r="W47" s="19">
        <f t="shared" si="63"/>
        <v>0</v>
      </c>
      <c r="X47" s="19">
        <f t="shared" si="63"/>
        <v>0</v>
      </c>
      <c r="Y47" s="19">
        <f t="shared" si="63"/>
        <v>0</v>
      </c>
      <c r="Z47" s="19">
        <f t="shared" si="63"/>
        <v>0</v>
      </c>
      <c r="AA47" s="19">
        <f t="shared" si="63"/>
        <v>0</v>
      </c>
      <c r="AB47" s="19">
        <f t="shared" si="63"/>
        <v>0</v>
      </c>
      <c r="AC47" s="19">
        <f t="shared" si="63"/>
        <v>0</v>
      </c>
      <c r="AD47" s="19">
        <f t="shared" si="63"/>
        <v>0</v>
      </c>
      <c r="AE47" s="19">
        <f t="shared" si="63"/>
        <v>0</v>
      </c>
      <c r="AF47" s="19">
        <f t="shared" si="63"/>
        <v>0</v>
      </c>
      <c r="AG47" s="19">
        <f t="shared" si="63"/>
        <v>0</v>
      </c>
      <c r="AH47" s="19">
        <f t="shared" si="63"/>
        <v>0</v>
      </c>
      <c r="AI47" s="19">
        <f t="shared" si="63"/>
        <v>0</v>
      </c>
      <c r="AJ47" s="19">
        <f t="shared" si="63"/>
        <v>0</v>
      </c>
      <c r="AK47" s="19">
        <f t="shared" si="63"/>
        <v>0</v>
      </c>
      <c r="AL47" s="19">
        <f t="shared" si="63"/>
        <v>0</v>
      </c>
      <c r="AM47" s="19">
        <f t="shared" ref="AM47" si="6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5">SUM(D50, D49 + D48)</f>
        <v>0</v>
      </c>
      <c r="E51" s="19">
        <f t="shared" ref="E51:AL51" si="66">SUM(E50, E49 + E48)</f>
        <v>0</v>
      </c>
      <c r="F51" s="19">
        <f t="shared" si="66"/>
        <v>0</v>
      </c>
      <c r="G51" s="19">
        <f t="shared" si="66"/>
        <v>0</v>
      </c>
      <c r="H51" s="19">
        <f t="shared" si="66"/>
        <v>0</v>
      </c>
      <c r="I51" s="19">
        <f t="shared" si="66"/>
        <v>0</v>
      </c>
      <c r="J51" s="19">
        <f t="shared" si="66"/>
        <v>0</v>
      </c>
      <c r="K51" s="19">
        <f t="shared" si="66"/>
        <v>0</v>
      </c>
      <c r="L51" s="19">
        <f t="shared" si="66"/>
        <v>0</v>
      </c>
      <c r="M51" s="19">
        <f t="shared" si="66"/>
        <v>0</v>
      </c>
      <c r="N51" s="19">
        <f t="shared" si="66"/>
        <v>0</v>
      </c>
      <c r="O51" s="19">
        <f t="shared" si="66"/>
        <v>0</v>
      </c>
      <c r="P51" s="19">
        <f t="shared" si="66"/>
        <v>0</v>
      </c>
      <c r="Q51" s="19">
        <f t="shared" si="66"/>
        <v>0</v>
      </c>
      <c r="R51" s="19">
        <f t="shared" si="66"/>
        <v>0</v>
      </c>
      <c r="S51" s="19">
        <f t="shared" si="66"/>
        <v>0</v>
      </c>
      <c r="T51" s="19">
        <f t="shared" si="66"/>
        <v>0</v>
      </c>
      <c r="U51" s="19">
        <f t="shared" si="66"/>
        <v>0</v>
      </c>
      <c r="V51" s="19">
        <f t="shared" si="66"/>
        <v>0</v>
      </c>
      <c r="W51" s="19">
        <f t="shared" si="66"/>
        <v>0</v>
      </c>
      <c r="X51" s="19">
        <f t="shared" si="66"/>
        <v>0</v>
      </c>
      <c r="Y51" s="19">
        <f t="shared" si="66"/>
        <v>0</v>
      </c>
      <c r="Z51" s="19">
        <f t="shared" si="66"/>
        <v>0</v>
      </c>
      <c r="AA51" s="19">
        <f t="shared" si="66"/>
        <v>0</v>
      </c>
      <c r="AB51" s="19">
        <f t="shared" si="66"/>
        <v>0</v>
      </c>
      <c r="AC51" s="19">
        <f t="shared" si="66"/>
        <v>0</v>
      </c>
      <c r="AD51" s="19">
        <f t="shared" si="66"/>
        <v>0</v>
      </c>
      <c r="AE51" s="19">
        <f t="shared" si="66"/>
        <v>0</v>
      </c>
      <c r="AF51" s="19">
        <f t="shared" si="66"/>
        <v>0</v>
      </c>
      <c r="AG51" s="19">
        <f t="shared" si="66"/>
        <v>0</v>
      </c>
      <c r="AH51" s="19">
        <f t="shared" si="66"/>
        <v>0</v>
      </c>
      <c r="AI51" s="19">
        <f t="shared" si="66"/>
        <v>0</v>
      </c>
      <c r="AJ51" s="19">
        <f t="shared" si="66"/>
        <v>0</v>
      </c>
      <c r="AK51" s="19">
        <f t="shared" si="66"/>
        <v>0</v>
      </c>
      <c r="AL51" s="19">
        <f t="shared" si="66"/>
        <v>0</v>
      </c>
      <c r="AM51" s="19">
        <f t="shared" si="6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67">D47-D51</f>
        <v>0</v>
      </c>
      <c r="E52" s="23">
        <f t="shared" ref="E52:AL52" si="68">E47-E51</f>
        <v>0</v>
      </c>
      <c r="F52" s="23">
        <f t="shared" si="68"/>
        <v>0</v>
      </c>
      <c r="G52" s="23">
        <f t="shared" si="68"/>
        <v>0</v>
      </c>
      <c r="H52" s="23">
        <f t="shared" si="68"/>
        <v>0</v>
      </c>
      <c r="I52" s="23">
        <f t="shared" si="68"/>
        <v>0</v>
      </c>
      <c r="J52" s="23">
        <f t="shared" si="68"/>
        <v>0</v>
      </c>
      <c r="K52" s="23">
        <f t="shared" si="68"/>
        <v>0</v>
      </c>
      <c r="L52" s="23">
        <f t="shared" si="68"/>
        <v>0</v>
      </c>
      <c r="M52" s="23">
        <f t="shared" si="68"/>
        <v>0</v>
      </c>
      <c r="N52" s="23">
        <f t="shared" si="68"/>
        <v>0</v>
      </c>
      <c r="O52" s="23">
        <f t="shared" si="68"/>
        <v>0</v>
      </c>
      <c r="P52" s="23">
        <f t="shared" si="68"/>
        <v>0</v>
      </c>
      <c r="Q52" s="23">
        <f t="shared" si="68"/>
        <v>0</v>
      </c>
      <c r="R52" s="23">
        <f t="shared" si="68"/>
        <v>0</v>
      </c>
      <c r="S52" s="23">
        <f t="shared" si="68"/>
        <v>0</v>
      </c>
      <c r="T52" s="23">
        <f t="shared" si="68"/>
        <v>0</v>
      </c>
      <c r="U52" s="23">
        <f t="shared" si="68"/>
        <v>0</v>
      </c>
      <c r="V52" s="23">
        <f t="shared" si="68"/>
        <v>0</v>
      </c>
      <c r="W52" s="23">
        <f t="shared" si="68"/>
        <v>0</v>
      </c>
      <c r="X52" s="23">
        <f t="shared" si="68"/>
        <v>0</v>
      </c>
      <c r="Y52" s="23">
        <f t="shared" si="68"/>
        <v>0</v>
      </c>
      <c r="Z52" s="23">
        <f t="shared" si="68"/>
        <v>0</v>
      </c>
      <c r="AA52" s="23">
        <f t="shared" si="68"/>
        <v>0</v>
      </c>
      <c r="AB52" s="23">
        <f t="shared" si="68"/>
        <v>0</v>
      </c>
      <c r="AC52" s="23">
        <f t="shared" si="68"/>
        <v>0</v>
      </c>
      <c r="AD52" s="23">
        <f t="shared" si="68"/>
        <v>0</v>
      </c>
      <c r="AE52" s="23">
        <f t="shared" si="68"/>
        <v>0</v>
      </c>
      <c r="AF52" s="23">
        <f t="shared" si="68"/>
        <v>0</v>
      </c>
      <c r="AG52" s="23">
        <f t="shared" si="68"/>
        <v>0</v>
      </c>
      <c r="AH52" s="23">
        <f t="shared" si="68"/>
        <v>0</v>
      </c>
      <c r="AI52" s="23">
        <f t="shared" si="68"/>
        <v>0</v>
      </c>
      <c r="AJ52" s="23">
        <f t="shared" si="68"/>
        <v>0</v>
      </c>
      <c r="AK52" s="23">
        <f t="shared" si="68"/>
        <v>0</v>
      </c>
      <c r="AL52" s="23">
        <f t="shared" si="68"/>
        <v>0</v>
      </c>
      <c r="AM52" s="23">
        <f t="shared" si="6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9">D44+D52</f>
        <v>-43850</v>
      </c>
      <c r="E53" s="23">
        <f t="shared" ref="E53:AL53" si="70">E44+E52</f>
        <v>-42465.5</v>
      </c>
      <c r="F53" s="23">
        <f t="shared" si="70"/>
        <v>-38306.214999999997</v>
      </c>
      <c r="G53" s="23">
        <f t="shared" si="70"/>
        <v>-38765.816450000006</v>
      </c>
      <c r="H53" s="23">
        <f t="shared" si="70"/>
        <v>-39245.836568500003</v>
      </c>
      <c r="I53" s="23">
        <f t="shared" si="70"/>
        <v>-40103.589018055005</v>
      </c>
      <c r="J53" s="23">
        <f t="shared" si="70"/>
        <v>-40751.984044044104</v>
      </c>
      <c r="K53" s="23">
        <f t="shared" si="70"/>
        <v>-41974.543565365428</v>
      </c>
      <c r="L53" s="23">
        <f t="shared" si="70"/>
        <v>-43233.779872326399</v>
      </c>
      <c r="M53" s="23">
        <f t="shared" si="70"/>
        <v>-37020.568509279212</v>
      </c>
      <c r="N53" s="23">
        <f t="shared" si="70"/>
        <v>-34990.948623968274</v>
      </c>
      <c r="O53" s="23">
        <f t="shared" si="70"/>
        <v>-35603.643304763711</v>
      </c>
      <c r="P53" s="23">
        <f t="shared" si="70"/>
        <v>-36671.752603906629</v>
      </c>
      <c r="Q53" s="23">
        <f t="shared" si="70"/>
        <v>-37609.949819149071</v>
      </c>
      <c r="R53" s="23">
        <f t="shared" si="70"/>
        <v>-37645.049614318908</v>
      </c>
      <c r="S53" s="23">
        <f t="shared" si="70"/>
        <v>-38118.481883105698</v>
      </c>
      <c r="T53" s="23">
        <f t="shared" si="70"/>
        <v>-36197.416137763867</v>
      </c>
      <c r="U53" s="23">
        <f t="shared" si="70"/>
        <v>-35273.847168260807</v>
      </c>
      <c r="V53" s="23">
        <f t="shared" si="70"/>
        <v>-36332.062583308638</v>
      </c>
      <c r="W53" s="23">
        <f t="shared" si="70"/>
        <v>-32251.101487757755</v>
      </c>
      <c r="X53" s="23">
        <f t="shared" si="70"/>
        <v>-32042.492079250555</v>
      </c>
      <c r="Y53" s="23">
        <f t="shared" si="70"/>
        <v>-33003.766841628072</v>
      </c>
      <c r="Z53" s="23">
        <f t="shared" si="70"/>
        <v>-31886.790375003955</v>
      </c>
      <c r="AA53" s="23">
        <f t="shared" si="70"/>
        <v>-31209.31559444272</v>
      </c>
      <c r="AB53" s="23">
        <f t="shared" si="70"/>
        <v>-31818.882410318245</v>
      </c>
      <c r="AC53" s="23">
        <f t="shared" si="70"/>
        <v>-31891.324722341862</v>
      </c>
      <c r="AD53" s="23">
        <f t="shared" si="70"/>
        <v>-32318.789967840556</v>
      </c>
      <c r="AE53" s="23">
        <f t="shared" si="70"/>
        <v>-31770.592231972463</v>
      </c>
      <c r="AF53" s="23">
        <f t="shared" si="70"/>
        <v>-31240.964881794564</v>
      </c>
      <c r="AG53" s="23">
        <f t="shared" si="70"/>
        <v>-31672.837246558836</v>
      </c>
      <c r="AH53" s="23">
        <f t="shared" si="70"/>
        <v>-28208.781402660974</v>
      </c>
      <c r="AI53" s="23">
        <f t="shared" si="70"/>
        <v>-29055.044844740802</v>
      </c>
      <c r="AJ53" s="23">
        <f t="shared" si="70"/>
        <v>-29926.696190083028</v>
      </c>
      <c r="AK53" s="23">
        <f t="shared" si="70"/>
        <v>-30824.497075785523</v>
      </c>
      <c r="AL53" s="23">
        <f t="shared" si="70"/>
        <v>-29829.698032314416</v>
      </c>
      <c r="AM53" s="23">
        <f t="shared" si="69"/>
        <v>-26457.534721207896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64FD22AB-DFED-4B63-9B23-509598BF402B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4C0E-CFA1-4747-8C3E-558D3F695E1B}">
  <sheetPr>
    <tabColor theme="9" tint="0.79998168889431442"/>
    <outlinePr summaryBelow="0" summaryRight="0"/>
  </sheetPr>
  <dimension ref="A1:NTP304"/>
  <sheetViews>
    <sheetView showGridLines="0" tabSelected="1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AD47" sqref="AD47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2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95000</v>
      </c>
      <c r="E6" s="18">
        <v>97850</v>
      </c>
      <c r="F6" s="18">
        <f>E6*(0.96)</f>
        <v>93936</v>
      </c>
      <c r="G6" s="18">
        <v>96754.08</v>
      </c>
      <c r="H6" s="18">
        <v>99656.702400000009</v>
      </c>
      <c r="I6" s="18">
        <v>102646.40347200001</v>
      </c>
      <c r="J6" s="18">
        <v>105725.79557616</v>
      </c>
      <c r="K6" s="18">
        <f>J6*(0.96)</f>
        <v>101496.7637531136</v>
      </c>
      <c r="L6" s="18">
        <v>104541.66666570702</v>
      </c>
      <c r="M6" s="18">
        <v>107677.91666567823</v>
      </c>
      <c r="N6" s="18">
        <v>110908.25416564858</v>
      </c>
      <c r="O6" s="18">
        <f>N6*(0.96)</f>
        <v>106471.92399902263</v>
      </c>
      <c r="P6" s="18">
        <v>109666.08171899332</v>
      </c>
      <c r="Q6" s="18">
        <v>112956.06417056311</v>
      </c>
      <c r="R6" s="18">
        <v>116344.74609568001</v>
      </c>
      <c r="S6" s="18">
        <f>R6*(0.96)</f>
        <v>111690.9562518528</v>
      </c>
      <c r="T6" s="18">
        <v>115041.68493940838</v>
      </c>
      <c r="U6" s="18">
        <v>118492.93548759064</v>
      </c>
      <c r="V6" s="18">
        <v>122047.72355221836</v>
      </c>
      <c r="W6" s="18">
        <v>125709.15525878491</v>
      </c>
      <c r="X6" s="18">
        <v>129480.42991654847</v>
      </c>
      <c r="Y6" s="18">
        <v>133364.84281404494</v>
      </c>
      <c r="Z6" s="18">
        <v>137365.78809846629</v>
      </c>
      <c r="AA6" s="18">
        <f>Z6*(0.96)</f>
        <v>131871.15657452765</v>
      </c>
      <c r="AB6" s="18">
        <v>135827.29127176348</v>
      </c>
      <c r="AC6" s="18">
        <v>139902.11000991639</v>
      </c>
      <c r="AD6" s="18">
        <v>144099.1733102139</v>
      </c>
      <c r="AE6" s="18">
        <f>AD6*(0.96)</f>
        <v>138335.20637780533</v>
      </c>
      <c r="AF6" s="18">
        <v>142485.26256913948</v>
      </c>
      <c r="AG6" s="18">
        <v>146759.82044621368</v>
      </c>
      <c r="AH6" s="18">
        <f>AG6*(0.96)</f>
        <v>140889.42762836511</v>
      </c>
      <c r="AI6" s="18">
        <v>145116.11045721607</v>
      </c>
      <c r="AJ6" s="18">
        <v>149469.59377093255</v>
      </c>
      <c r="AK6" s="18">
        <v>153953.68158406054</v>
      </c>
      <c r="AL6" s="18">
        <f>AK6*(0.96)</f>
        <v>147795.53432069812</v>
      </c>
      <c r="AM6" s="18">
        <v>152229.40035031908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" si="35">SUM(D6 + D5)</f>
        <v>95000</v>
      </c>
      <c r="E7" s="19">
        <f t="shared" ref="E7:AL7" si="36">SUM(E6 + E5)</f>
        <v>97850</v>
      </c>
      <c r="F7" s="19">
        <f t="shared" si="36"/>
        <v>93936</v>
      </c>
      <c r="G7" s="19">
        <f t="shared" si="36"/>
        <v>96754.08</v>
      </c>
      <c r="H7" s="19">
        <f t="shared" si="36"/>
        <v>99656.702400000009</v>
      </c>
      <c r="I7" s="19">
        <f t="shared" si="36"/>
        <v>102646.40347200001</v>
      </c>
      <c r="J7" s="19">
        <f t="shared" si="36"/>
        <v>105725.79557616</v>
      </c>
      <c r="K7" s="19">
        <f t="shared" si="36"/>
        <v>101496.7637531136</v>
      </c>
      <c r="L7" s="19">
        <f t="shared" si="36"/>
        <v>104541.66666570702</v>
      </c>
      <c r="M7" s="19">
        <f t="shared" si="36"/>
        <v>107677.91666567823</v>
      </c>
      <c r="N7" s="19">
        <f t="shared" si="36"/>
        <v>110908.25416564858</v>
      </c>
      <c r="O7" s="19">
        <f t="shared" si="36"/>
        <v>106471.92399902263</v>
      </c>
      <c r="P7" s="19">
        <f t="shared" si="36"/>
        <v>109666.08171899332</v>
      </c>
      <c r="Q7" s="19">
        <f t="shared" si="36"/>
        <v>112956.06417056311</v>
      </c>
      <c r="R7" s="19">
        <f t="shared" si="36"/>
        <v>116344.74609568001</v>
      </c>
      <c r="S7" s="19">
        <f t="shared" si="36"/>
        <v>111690.9562518528</v>
      </c>
      <c r="T7" s="19">
        <f t="shared" si="36"/>
        <v>115041.68493940838</v>
      </c>
      <c r="U7" s="19">
        <f t="shared" si="36"/>
        <v>118492.93548759064</v>
      </c>
      <c r="V7" s="19">
        <f t="shared" si="36"/>
        <v>122047.72355221836</v>
      </c>
      <c r="W7" s="19">
        <f t="shared" si="36"/>
        <v>125709.15525878491</v>
      </c>
      <c r="X7" s="19">
        <f t="shared" si="36"/>
        <v>129480.42991654847</v>
      </c>
      <c r="Y7" s="19">
        <f t="shared" si="36"/>
        <v>133364.84281404494</v>
      </c>
      <c r="Z7" s="19">
        <f t="shared" si="36"/>
        <v>137365.78809846629</v>
      </c>
      <c r="AA7" s="19">
        <f t="shared" si="36"/>
        <v>131871.15657452765</v>
      </c>
      <c r="AB7" s="19">
        <f t="shared" si="36"/>
        <v>135827.29127176348</v>
      </c>
      <c r="AC7" s="19">
        <f t="shared" si="36"/>
        <v>139902.11000991639</v>
      </c>
      <c r="AD7" s="19">
        <f t="shared" si="36"/>
        <v>144099.1733102139</v>
      </c>
      <c r="AE7" s="19">
        <f t="shared" si="36"/>
        <v>138335.20637780533</v>
      </c>
      <c r="AF7" s="19">
        <f t="shared" si="36"/>
        <v>142485.26256913948</v>
      </c>
      <c r="AG7" s="19">
        <f t="shared" si="36"/>
        <v>146759.82044621368</v>
      </c>
      <c r="AH7" s="19">
        <f t="shared" si="36"/>
        <v>140889.42762836511</v>
      </c>
      <c r="AI7" s="19">
        <f t="shared" si="36"/>
        <v>145116.11045721607</v>
      </c>
      <c r="AJ7" s="19">
        <f t="shared" si="36"/>
        <v>149469.59377093255</v>
      </c>
      <c r="AK7" s="19">
        <f t="shared" si="36"/>
        <v>153953.68158406054</v>
      </c>
      <c r="AL7" s="19">
        <f t="shared" si="36"/>
        <v>147795.53432069812</v>
      </c>
      <c r="AM7" s="19">
        <f t="shared" ref="AM7" si="37">SUM(AM6 + AM5)</f>
        <v>152229.40035031908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800</v>
      </c>
      <c r="E9" s="18">
        <v>832</v>
      </c>
      <c r="F9" s="18">
        <v>865.28</v>
      </c>
      <c r="G9" s="18">
        <v>899.89120000000003</v>
      </c>
      <c r="H9" s="18">
        <v>935.8868480000001</v>
      </c>
      <c r="I9" s="18">
        <v>973.32232192000015</v>
      </c>
      <c r="J9" s="18">
        <v>1012.2552147968001</v>
      </c>
      <c r="K9" s="18">
        <v>1052.7454233886722</v>
      </c>
      <c r="L9" s="18">
        <v>1094.855240324219</v>
      </c>
      <c r="M9" s="18">
        <v>1138.6494499371879</v>
      </c>
      <c r="N9" s="18">
        <v>1184.1954279346755</v>
      </c>
      <c r="O9" s="18">
        <v>1231.5632450520627</v>
      </c>
      <c r="P9" s="18">
        <v>1280.8257748541453</v>
      </c>
      <c r="Q9" s="18">
        <v>1332.0588058483111</v>
      </c>
      <c r="R9" s="18">
        <v>1385.3411580822435</v>
      </c>
      <c r="S9" s="18">
        <v>1440.7548044055334</v>
      </c>
      <c r="T9" s="18">
        <v>1498.3849965817549</v>
      </c>
      <c r="U9" s="18">
        <v>1558.3203964450252</v>
      </c>
      <c r="V9" s="18">
        <v>1620.6532123028262</v>
      </c>
      <c r="W9" s="18">
        <v>1685.4793407949394</v>
      </c>
      <c r="X9" s="18">
        <v>1752.8985144267369</v>
      </c>
      <c r="Y9" s="18">
        <v>1823.0144550038065</v>
      </c>
      <c r="Z9" s="18">
        <v>1895.9350332039587</v>
      </c>
      <c r="AA9" s="18">
        <v>1971.7724345321171</v>
      </c>
      <c r="AB9" s="18">
        <v>2050.6433319134021</v>
      </c>
      <c r="AC9" s="18">
        <v>2132.6690651899385</v>
      </c>
      <c r="AD9" s="18">
        <v>2217.9758277975361</v>
      </c>
      <c r="AE9" s="18">
        <v>2306.6948609094375</v>
      </c>
      <c r="AF9" s="18">
        <v>2398.9626553458152</v>
      </c>
      <c r="AG9" s="18">
        <v>2494.9211615596478</v>
      </c>
      <c r="AH9" s="18">
        <v>2594.7180080220337</v>
      </c>
      <c r="AI9" s="18">
        <v>2698.5067283429153</v>
      </c>
      <c r="AJ9" s="18">
        <v>2806.4469974766321</v>
      </c>
      <c r="AK9" s="18">
        <v>2918.7048773756974</v>
      </c>
      <c r="AL9" s="18">
        <v>3035.4530724707256</v>
      </c>
      <c r="AM9" s="18">
        <v>3156.8711953695547</v>
      </c>
    </row>
    <row r="10" spans="1:39" s="17" customFormat="1" ht="21" customHeight="1" x14ac:dyDescent="0.3">
      <c r="A10" s="14"/>
      <c r="B10" s="4" t="s">
        <v>8</v>
      </c>
      <c r="C10" s="15"/>
      <c r="D10" s="18">
        <v>250</v>
      </c>
      <c r="E10" s="18">
        <v>260</v>
      </c>
      <c r="F10" s="18">
        <v>270.40000000000003</v>
      </c>
      <c r="G10" s="18">
        <v>281.21600000000007</v>
      </c>
      <c r="H10" s="18">
        <v>292.46464000000009</v>
      </c>
      <c r="I10" s="18">
        <v>304.16322560000009</v>
      </c>
      <c r="J10" s="18">
        <v>316.32975462400009</v>
      </c>
      <c r="K10" s="18">
        <v>328.9829448089601</v>
      </c>
      <c r="L10" s="18">
        <v>342.14226260131852</v>
      </c>
      <c r="M10" s="18">
        <v>355.82795310537125</v>
      </c>
      <c r="N10" s="18">
        <v>370.0610712295861</v>
      </c>
      <c r="O10" s="18">
        <v>384.86351407876958</v>
      </c>
      <c r="P10" s="18">
        <v>400.25805464192035</v>
      </c>
      <c r="Q10" s="18">
        <v>416.26837682759719</v>
      </c>
      <c r="R10" s="18">
        <v>432.91911190070107</v>
      </c>
      <c r="S10" s="18">
        <v>450.23587637672915</v>
      </c>
      <c r="T10" s="18">
        <v>468.24531143179831</v>
      </c>
      <c r="U10" s="18">
        <v>486.97512388907029</v>
      </c>
      <c r="V10" s="18">
        <v>506.45412884463315</v>
      </c>
      <c r="W10" s="18">
        <v>526.71229399841855</v>
      </c>
      <c r="X10" s="18">
        <v>547.78078575835525</v>
      </c>
      <c r="Y10" s="18">
        <v>569.69201718868953</v>
      </c>
      <c r="Z10" s="18">
        <v>592.47969787623708</v>
      </c>
      <c r="AA10" s="18">
        <v>616.17888579128658</v>
      </c>
      <c r="AB10" s="18">
        <v>640.8260412229381</v>
      </c>
      <c r="AC10" s="18">
        <v>666.45908287185568</v>
      </c>
      <c r="AD10" s="18">
        <v>693.11744618672992</v>
      </c>
      <c r="AE10" s="18">
        <v>720.84214403419912</v>
      </c>
      <c r="AF10" s="18">
        <v>749.6758297955671</v>
      </c>
      <c r="AG10" s="18">
        <v>779.66286298738976</v>
      </c>
      <c r="AH10" s="18">
        <v>810.84937750688539</v>
      </c>
      <c r="AI10" s="18">
        <v>843.28335260716085</v>
      </c>
      <c r="AJ10" s="18">
        <v>877.01468671144733</v>
      </c>
      <c r="AK10" s="18">
        <v>912.09527417990523</v>
      </c>
      <c r="AL10" s="18">
        <v>948.57908514710152</v>
      </c>
      <c r="AM10" s="18">
        <v>986.52224855298562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8">SUM(D10, D9 + D8)</f>
        <v>1050</v>
      </c>
      <c r="E11" s="19">
        <f t="shared" ref="E11:AL11" si="39">SUM(E10, E9 + E8)</f>
        <v>1092</v>
      </c>
      <c r="F11" s="19">
        <f t="shared" si="39"/>
        <v>1135.68</v>
      </c>
      <c r="G11" s="19">
        <f t="shared" si="39"/>
        <v>1181.1072000000001</v>
      </c>
      <c r="H11" s="19">
        <f t="shared" si="39"/>
        <v>1228.3514880000002</v>
      </c>
      <c r="I11" s="19">
        <f t="shared" si="39"/>
        <v>1277.4855475200002</v>
      </c>
      <c r="J11" s="19">
        <f t="shared" si="39"/>
        <v>1328.5849694208002</v>
      </c>
      <c r="K11" s="19">
        <f t="shared" si="39"/>
        <v>1381.7283681976323</v>
      </c>
      <c r="L11" s="19">
        <f t="shared" si="39"/>
        <v>1436.9975029255374</v>
      </c>
      <c r="M11" s="19">
        <f t="shared" si="39"/>
        <v>1494.4774030425592</v>
      </c>
      <c r="N11" s="19">
        <f t="shared" si="39"/>
        <v>1554.2564991642616</v>
      </c>
      <c r="O11" s="19">
        <f t="shared" si="39"/>
        <v>1616.4267591308324</v>
      </c>
      <c r="P11" s="19">
        <f t="shared" si="39"/>
        <v>1681.0838294960656</v>
      </c>
      <c r="Q11" s="19">
        <f t="shared" si="39"/>
        <v>1748.3271826759083</v>
      </c>
      <c r="R11" s="19">
        <f t="shared" si="39"/>
        <v>1818.2602699829445</v>
      </c>
      <c r="S11" s="19">
        <f t="shared" si="39"/>
        <v>1890.9906807822626</v>
      </c>
      <c r="T11" s="19">
        <f t="shared" si="39"/>
        <v>1966.6303080135531</v>
      </c>
      <c r="U11" s="19">
        <f t="shared" si="39"/>
        <v>2045.2955203340955</v>
      </c>
      <c r="V11" s="19">
        <f t="shared" si="39"/>
        <v>2127.1073411474595</v>
      </c>
      <c r="W11" s="19">
        <f t="shared" si="39"/>
        <v>2212.1916347933579</v>
      </c>
      <c r="X11" s="19">
        <f t="shared" si="39"/>
        <v>2300.679300185092</v>
      </c>
      <c r="Y11" s="19">
        <f t="shared" si="39"/>
        <v>2392.7064721924962</v>
      </c>
      <c r="Z11" s="19">
        <f t="shared" si="39"/>
        <v>2488.4147310801959</v>
      </c>
      <c r="AA11" s="19">
        <f t="shared" si="39"/>
        <v>2587.9513203234037</v>
      </c>
      <c r="AB11" s="19">
        <f t="shared" si="39"/>
        <v>2691.4693731363404</v>
      </c>
      <c r="AC11" s="19">
        <f t="shared" si="39"/>
        <v>2799.128148061794</v>
      </c>
      <c r="AD11" s="19">
        <f t="shared" si="39"/>
        <v>2911.093273984266</v>
      </c>
      <c r="AE11" s="19">
        <f t="shared" si="39"/>
        <v>3027.5370049436365</v>
      </c>
      <c r="AF11" s="19">
        <f t="shared" si="39"/>
        <v>3148.6384851413823</v>
      </c>
      <c r="AG11" s="19">
        <f t="shared" si="39"/>
        <v>3274.5840245470376</v>
      </c>
      <c r="AH11" s="19">
        <f t="shared" si="39"/>
        <v>3405.5673855289192</v>
      </c>
      <c r="AI11" s="19">
        <f t="shared" si="39"/>
        <v>3541.7900809500761</v>
      </c>
      <c r="AJ11" s="19">
        <f t="shared" si="39"/>
        <v>3683.4616841880793</v>
      </c>
      <c r="AK11" s="19">
        <f t="shared" si="39"/>
        <v>3830.8001515556025</v>
      </c>
      <c r="AL11" s="19">
        <f t="shared" si="39"/>
        <v>3984.0321576178271</v>
      </c>
      <c r="AM11" s="19">
        <f t="shared" si="38"/>
        <v>4143.3934439225404</v>
      </c>
    </row>
    <row r="12" spans="1:39" s="21" customFormat="1" ht="21" customHeight="1" x14ac:dyDescent="0.3">
      <c r="B12" s="5" t="s">
        <v>10</v>
      </c>
      <c r="C12" s="22"/>
      <c r="D12" s="23">
        <f t="shared" ref="D12:AM12" si="40">D7-D11</f>
        <v>93950</v>
      </c>
      <c r="E12" s="23">
        <f t="shared" ref="E12:AL12" si="41">E7-E11</f>
        <v>96758</v>
      </c>
      <c r="F12" s="23">
        <f t="shared" si="41"/>
        <v>92800.320000000007</v>
      </c>
      <c r="G12" s="23">
        <f t="shared" si="41"/>
        <v>95572.972800000003</v>
      </c>
      <c r="H12" s="23">
        <f t="shared" si="41"/>
        <v>98428.350912000009</v>
      </c>
      <c r="I12" s="23">
        <f t="shared" si="41"/>
        <v>101368.91792448</v>
      </c>
      <c r="J12" s="23">
        <f t="shared" si="41"/>
        <v>104397.2106067392</v>
      </c>
      <c r="K12" s="23">
        <f t="shared" si="41"/>
        <v>100115.03538491597</v>
      </c>
      <c r="L12" s="23">
        <f t="shared" si="41"/>
        <v>103104.66916278147</v>
      </c>
      <c r="M12" s="23">
        <f t="shared" si="41"/>
        <v>106183.43926263567</v>
      </c>
      <c r="N12" s="23">
        <f t="shared" si="41"/>
        <v>109353.99766648433</v>
      </c>
      <c r="O12" s="23">
        <f t="shared" si="41"/>
        <v>104855.4972398918</v>
      </c>
      <c r="P12" s="23">
        <f t="shared" si="41"/>
        <v>107984.99788949724</v>
      </c>
      <c r="Q12" s="23">
        <f t="shared" si="41"/>
        <v>111207.73698788721</v>
      </c>
      <c r="R12" s="23">
        <f t="shared" si="41"/>
        <v>114526.48582569706</v>
      </c>
      <c r="S12" s="23">
        <f t="shared" si="41"/>
        <v>109799.96557107053</v>
      </c>
      <c r="T12" s="23">
        <f t="shared" si="41"/>
        <v>113075.05463139483</v>
      </c>
      <c r="U12" s="23">
        <f t="shared" si="41"/>
        <v>116447.63996725655</v>
      </c>
      <c r="V12" s="23">
        <f t="shared" si="41"/>
        <v>119920.6162110709</v>
      </c>
      <c r="W12" s="23">
        <f t="shared" si="41"/>
        <v>123496.96362399156</v>
      </c>
      <c r="X12" s="23">
        <f t="shared" si="41"/>
        <v>127179.75061636338</v>
      </c>
      <c r="Y12" s="23">
        <f t="shared" si="41"/>
        <v>130972.13634185244</v>
      </c>
      <c r="Z12" s="23">
        <f t="shared" si="41"/>
        <v>134877.37336738608</v>
      </c>
      <c r="AA12" s="23">
        <f t="shared" si="41"/>
        <v>129283.20525420424</v>
      </c>
      <c r="AB12" s="23">
        <f t="shared" si="41"/>
        <v>133135.82189862712</v>
      </c>
      <c r="AC12" s="23">
        <f t="shared" si="41"/>
        <v>137102.98186185458</v>
      </c>
      <c r="AD12" s="23">
        <f t="shared" si="41"/>
        <v>141188.08003622963</v>
      </c>
      <c r="AE12" s="23">
        <f t="shared" si="41"/>
        <v>135307.66937286168</v>
      </c>
      <c r="AF12" s="23">
        <f t="shared" si="41"/>
        <v>139336.62408399809</v>
      </c>
      <c r="AG12" s="23">
        <f t="shared" si="41"/>
        <v>143485.23642166663</v>
      </c>
      <c r="AH12" s="23">
        <f t="shared" si="41"/>
        <v>137483.86024283621</v>
      </c>
      <c r="AI12" s="23">
        <f t="shared" si="41"/>
        <v>141574.320376266</v>
      </c>
      <c r="AJ12" s="23">
        <f t="shared" si="41"/>
        <v>145786.13208674447</v>
      </c>
      <c r="AK12" s="23">
        <f t="shared" si="41"/>
        <v>150122.88143250495</v>
      </c>
      <c r="AL12" s="23">
        <f t="shared" si="41"/>
        <v>143811.50216308029</v>
      </c>
      <c r="AM12" s="23">
        <f t="shared" si="40"/>
        <v>148086.00690639653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350</v>
      </c>
      <c r="E15" s="18">
        <v>364</v>
      </c>
      <c r="F15" s="18">
        <v>378.56</v>
      </c>
      <c r="G15" s="18">
        <v>393.70240000000001</v>
      </c>
      <c r="H15" s="18">
        <v>409.45049600000004</v>
      </c>
      <c r="I15" s="18">
        <v>425.82851584000008</v>
      </c>
      <c r="J15" s="18">
        <v>442.86165647360008</v>
      </c>
      <c r="K15" s="18">
        <v>460.57612273254409</v>
      </c>
      <c r="L15" s="18">
        <v>478.99916764184587</v>
      </c>
      <c r="M15" s="18">
        <v>498.15913434751974</v>
      </c>
      <c r="N15" s="18">
        <v>518.08549972142055</v>
      </c>
      <c r="O15" s="18">
        <v>538.80891971027734</v>
      </c>
      <c r="P15" s="18">
        <v>560.36127649868843</v>
      </c>
      <c r="Q15" s="18">
        <v>582.77572755863594</v>
      </c>
      <c r="R15" s="18">
        <v>606.08675666098145</v>
      </c>
      <c r="S15" s="18">
        <v>630.33022692742077</v>
      </c>
      <c r="T15" s="18">
        <v>655.54343600451762</v>
      </c>
      <c r="U15" s="18">
        <v>681.76517344469835</v>
      </c>
      <c r="V15" s="18">
        <v>709.03578038248634</v>
      </c>
      <c r="W15" s="18">
        <v>737.39721159778583</v>
      </c>
      <c r="X15" s="18">
        <v>766.89310006169728</v>
      </c>
      <c r="Y15" s="18">
        <v>797.56882406416526</v>
      </c>
      <c r="Z15" s="18">
        <v>829.47157702673189</v>
      </c>
      <c r="AA15" s="18">
        <v>862.65044010780116</v>
      </c>
      <c r="AB15" s="18">
        <v>897.15645771211325</v>
      </c>
      <c r="AC15" s="18">
        <v>933.04271602059782</v>
      </c>
      <c r="AD15" s="18">
        <v>970.36442466142182</v>
      </c>
      <c r="AE15" s="18">
        <v>1009.1790016478787</v>
      </c>
      <c r="AF15" s="18">
        <v>1049.5461617137939</v>
      </c>
      <c r="AG15" s="18">
        <v>1091.5280081823457</v>
      </c>
      <c r="AH15" s="18">
        <v>1135.1891285096397</v>
      </c>
      <c r="AI15" s="18">
        <v>1180.5966936500254</v>
      </c>
      <c r="AJ15" s="18">
        <v>1227.8205613960265</v>
      </c>
      <c r="AK15" s="18">
        <v>1276.9333838518676</v>
      </c>
      <c r="AL15" s="18">
        <v>1328.0107192059422</v>
      </c>
      <c r="AM15" s="18">
        <v>1381.1311479741801</v>
      </c>
    </row>
    <row r="16" spans="1:39" s="17" customFormat="1" ht="21" customHeight="1" x14ac:dyDescent="0.3">
      <c r="B16" s="4" t="s">
        <v>14</v>
      </c>
      <c r="C16" s="15"/>
      <c r="D16" s="18">
        <v>8000</v>
      </c>
      <c r="E16" s="18">
        <v>8400</v>
      </c>
      <c r="F16" s="18">
        <f>E16*(0.95)</f>
        <v>7980</v>
      </c>
      <c r="G16" s="18">
        <v>8379</v>
      </c>
      <c r="H16" s="18">
        <v>8797.9500000000007</v>
      </c>
      <c r="I16" s="18">
        <v>9237.8475000000017</v>
      </c>
      <c r="J16" s="18">
        <f t="shared" ref="J16:K16" si="42">I16*(0.95)</f>
        <v>8775.9551250000004</v>
      </c>
      <c r="K16" s="18">
        <f t="shared" si="42"/>
        <v>8337.1573687500004</v>
      </c>
      <c r="L16" s="18">
        <v>8754.015237187501</v>
      </c>
      <c r="M16" s="18">
        <v>9191.7159990468772</v>
      </c>
      <c r="N16" s="18">
        <f t="shared" ref="N16:O16" si="43">M16*(0.95)</f>
        <v>8732.1301990945321</v>
      </c>
      <c r="O16" s="18">
        <f t="shared" si="43"/>
        <v>8295.5236891398054</v>
      </c>
      <c r="P16" s="18">
        <v>8710.2998735967958</v>
      </c>
      <c r="Q16" s="18">
        <v>9145.8148672766365</v>
      </c>
      <c r="R16" s="18">
        <f t="shared" ref="R16:S16" si="44">Q16*(0.95)</f>
        <v>8688.5241239128045</v>
      </c>
      <c r="S16" s="18">
        <f t="shared" si="44"/>
        <v>8254.097917717163</v>
      </c>
      <c r="T16" s="18">
        <v>8666.8028136030207</v>
      </c>
      <c r="U16" s="18">
        <f t="shared" ref="U16:V16" si="45">T16*(0.95)</f>
        <v>8233.4626729228694</v>
      </c>
      <c r="V16" s="18">
        <f t="shared" si="45"/>
        <v>7821.7895392767259</v>
      </c>
      <c r="W16" s="18">
        <v>8212.8790162405621</v>
      </c>
      <c r="X16" s="18">
        <f t="shared" ref="X16:Y16" si="46">W16*(0.95)</f>
        <v>7802.2350654285337</v>
      </c>
      <c r="Y16" s="18">
        <f t="shared" si="46"/>
        <v>7412.1233121571067</v>
      </c>
      <c r="Z16" s="18">
        <v>7782.7294777649622</v>
      </c>
      <c r="AA16" s="18">
        <f t="shared" ref="AA16:AB16" si="47">Z16*(0.95)</f>
        <v>7393.5930038767137</v>
      </c>
      <c r="AB16" s="18">
        <f t="shared" si="47"/>
        <v>7023.9133536828776</v>
      </c>
      <c r="AC16" s="18">
        <v>7375.1090213670223</v>
      </c>
      <c r="AD16" s="18">
        <f t="shared" ref="AD16:AE16" si="48">AC16*(0.95)</f>
        <v>7006.353570298671</v>
      </c>
      <c r="AE16" s="18">
        <f t="shared" si="48"/>
        <v>6656.0358917837375</v>
      </c>
      <c r="AF16" s="18">
        <v>6988.8376863729245</v>
      </c>
      <c r="AG16" s="18">
        <v>7338.2795706915713</v>
      </c>
      <c r="AH16" s="18">
        <v>7705.19354922615</v>
      </c>
      <c r="AI16" s="18">
        <f>AH16*(0.95)</f>
        <v>7319.9338717648425</v>
      </c>
      <c r="AJ16" s="18">
        <v>7685.9305653530846</v>
      </c>
      <c r="AK16" s="18">
        <v>8070.2270936207387</v>
      </c>
      <c r="AL16" s="18">
        <v>8473.7384483017759</v>
      </c>
      <c r="AM16" s="18">
        <f>AL16*(0.95)</f>
        <v>8050.0515258866862</v>
      </c>
    </row>
    <row r="17" spans="2:39" s="17" customFormat="1" ht="21" customHeight="1" x14ac:dyDescent="0.3">
      <c r="B17" s="4" t="s">
        <v>15</v>
      </c>
      <c r="C17" s="15"/>
      <c r="D17" s="18">
        <v>6000</v>
      </c>
      <c r="E17" s="18">
        <f>D17*(0.9)</f>
        <v>5400</v>
      </c>
      <c r="F17" s="18">
        <v>5616</v>
      </c>
      <c r="G17" s="18">
        <v>5840.64</v>
      </c>
      <c r="H17" s="18">
        <v>6074.2656000000006</v>
      </c>
      <c r="I17" s="18">
        <v>6317.2362240000011</v>
      </c>
      <c r="J17" s="18">
        <v>6569.9256729600011</v>
      </c>
      <c r="K17" s="18">
        <f>J17*(0.9)</f>
        <v>5912.9331056640012</v>
      </c>
      <c r="L17" s="18">
        <v>6149.4504298905613</v>
      </c>
      <c r="M17" s="18">
        <v>6395.428447086184</v>
      </c>
      <c r="N17" s="18">
        <v>6651.2455849696316</v>
      </c>
      <c r="O17" s="18">
        <v>6917.2954083684172</v>
      </c>
      <c r="P17" s="18">
        <v>7193.9872247031544</v>
      </c>
      <c r="Q17" s="18">
        <f>P17*(0.9)</f>
        <v>6474.5885022328393</v>
      </c>
      <c r="R17" s="18">
        <v>6733.5720423221528</v>
      </c>
      <c r="S17" s="18">
        <v>7002.9149240150391</v>
      </c>
      <c r="T17" s="18">
        <v>7283.0315209756409</v>
      </c>
      <c r="U17" s="18">
        <v>7574.3527818146667</v>
      </c>
      <c r="V17" s="18">
        <v>7877.3268930872537</v>
      </c>
      <c r="W17" s="18">
        <f>V17*(0.9)</f>
        <v>7089.594203778528</v>
      </c>
      <c r="X17" s="18">
        <v>7373.1779719296692</v>
      </c>
      <c r="Y17" s="18">
        <v>7668.1050908068564</v>
      </c>
      <c r="Z17" s="18">
        <v>7974.8292944391305</v>
      </c>
      <c r="AA17" s="18">
        <v>8293.8224662166958</v>
      </c>
      <c r="AB17" s="18">
        <f>AA17*(0.9)</f>
        <v>7464.4402195950261</v>
      </c>
      <c r="AC17" s="18">
        <v>7763.0178283788273</v>
      </c>
      <c r="AD17" s="18">
        <v>8073.5385415139808</v>
      </c>
      <c r="AE17" s="18">
        <f>AD17*(0.9)</f>
        <v>7266.1846873625827</v>
      </c>
      <c r="AF17" s="18">
        <v>7556.8320748570859</v>
      </c>
      <c r="AG17" s="18">
        <v>7859.1053578513693</v>
      </c>
      <c r="AH17" s="18">
        <f>AG17*(0.9)</f>
        <v>7073.1948220662325</v>
      </c>
      <c r="AI17" s="18">
        <v>7356.1226149488821</v>
      </c>
      <c r="AJ17" s="18">
        <v>7650.3675195468377</v>
      </c>
      <c r="AK17" s="18">
        <v>7956.3822203287118</v>
      </c>
      <c r="AL17" s="18">
        <v>8274.6375091418613</v>
      </c>
      <c r="AM17" s="18">
        <v>8605.6230095075352</v>
      </c>
    </row>
    <row r="18" spans="2:39" s="17" customFormat="1" ht="21" customHeight="1" x14ac:dyDescent="0.3">
      <c r="B18" s="4" t="s">
        <v>16</v>
      </c>
      <c r="C18" s="15"/>
      <c r="D18" s="18">
        <v>250</v>
      </c>
      <c r="E18" s="18">
        <v>260</v>
      </c>
      <c r="F18" s="18">
        <v>270.40000000000003</v>
      </c>
      <c r="G18" s="18">
        <v>281.21600000000007</v>
      </c>
      <c r="H18" s="18">
        <v>292.46464000000009</v>
      </c>
      <c r="I18" s="18">
        <v>304.16322560000009</v>
      </c>
      <c r="J18" s="18">
        <v>316.32975462400009</v>
      </c>
      <c r="K18" s="18">
        <v>328.9829448089601</v>
      </c>
      <c r="L18" s="18">
        <v>342.14226260131852</v>
      </c>
      <c r="M18" s="18">
        <v>355.82795310537125</v>
      </c>
      <c r="N18" s="18">
        <v>370.0610712295861</v>
      </c>
      <c r="O18" s="18">
        <v>384.86351407876958</v>
      </c>
      <c r="P18" s="18">
        <v>400.25805464192035</v>
      </c>
      <c r="Q18" s="18">
        <v>416.26837682759719</v>
      </c>
      <c r="R18" s="18">
        <v>432.91911190070107</v>
      </c>
      <c r="S18" s="18">
        <v>450.23587637672915</v>
      </c>
      <c r="T18" s="18">
        <v>468.24531143179831</v>
      </c>
      <c r="U18" s="18">
        <v>486.97512388907029</v>
      </c>
      <c r="V18" s="18">
        <v>506.45412884463315</v>
      </c>
      <c r="W18" s="18">
        <v>526.71229399841855</v>
      </c>
      <c r="X18" s="18">
        <v>547.78078575835525</v>
      </c>
      <c r="Y18" s="18">
        <v>569.69201718868953</v>
      </c>
      <c r="Z18" s="18">
        <v>592.47969787623708</v>
      </c>
      <c r="AA18" s="18">
        <v>616.17888579128658</v>
      </c>
      <c r="AB18" s="18">
        <v>640.8260412229381</v>
      </c>
      <c r="AC18" s="18">
        <v>666.45908287185568</v>
      </c>
      <c r="AD18" s="18">
        <v>693.11744618672992</v>
      </c>
      <c r="AE18" s="18">
        <v>720.84214403419912</v>
      </c>
      <c r="AF18" s="18">
        <v>749.6758297955671</v>
      </c>
      <c r="AG18" s="18">
        <v>779.66286298738976</v>
      </c>
      <c r="AH18" s="18">
        <v>810.84937750688539</v>
      </c>
      <c r="AI18" s="18">
        <v>843.28335260716085</v>
      </c>
      <c r="AJ18" s="18">
        <v>877.01468671144733</v>
      </c>
      <c r="AK18" s="18">
        <v>912.09527417990523</v>
      </c>
      <c r="AL18" s="18">
        <v>948.57908514710152</v>
      </c>
      <c r="AM18" s="18">
        <v>986.52224855298562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816</v>
      </c>
      <c r="F20" s="18">
        <v>832.32</v>
      </c>
      <c r="G20" s="18">
        <v>848.96640000000002</v>
      </c>
      <c r="H20" s="18">
        <v>865.94572800000003</v>
      </c>
      <c r="I20" s="18">
        <v>883.26464256000008</v>
      </c>
      <c r="J20" s="18">
        <v>900.92993541120006</v>
      </c>
      <c r="K20" s="18">
        <v>918.94853411942404</v>
      </c>
      <c r="L20" s="18">
        <v>937.32750480181255</v>
      </c>
      <c r="M20" s="18">
        <v>956.07405489784878</v>
      </c>
      <c r="N20" s="18">
        <v>975.19553599580581</v>
      </c>
      <c r="O20" s="18">
        <v>994.69944671572193</v>
      </c>
      <c r="P20" s="18">
        <v>1014.5934356500364</v>
      </c>
      <c r="Q20" s="18">
        <v>1034.8853043630372</v>
      </c>
      <c r="R20" s="18">
        <v>1055.5830104502979</v>
      </c>
      <c r="S20" s="18">
        <v>1076.6946706593039</v>
      </c>
      <c r="T20" s="18">
        <v>1098.2285640724901</v>
      </c>
      <c r="U20" s="18">
        <v>1120.1931353539401</v>
      </c>
      <c r="V20" s="18">
        <v>1142.5969980610189</v>
      </c>
      <c r="W20" s="18">
        <v>1165.4489380222392</v>
      </c>
      <c r="X20" s="18">
        <v>1188.7579167826841</v>
      </c>
      <c r="Y20" s="18">
        <v>1212.5330751183378</v>
      </c>
      <c r="Z20" s="18">
        <v>1236.7837366207045</v>
      </c>
      <c r="AA20" s="18">
        <v>1261.5194113531186</v>
      </c>
      <c r="AB20" s="18">
        <v>1286.7497995801809</v>
      </c>
      <c r="AC20" s="18">
        <v>1312.4847955717846</v>
      </c>
      <c r="AD20" s="18">
        <v>1338.7344914832204</v>
      </c>
      <c r="AE20" s="18">
        <v>1365.5091813128847</v>
      </c>
      <c r="AF20" s="18">
        <v>1392.8193649391424</v>
      </c>
      <c r="AG20" s="18">
        <v>1420.6757522379253</v>
      </c>
      <c r="AH20" s="18">
        <v>1449.0892672826837</v>
      </c>
      <c r="AI20" s="18">
        <v>1478.0710526283374</v>
      </c>
      <c r="AJ20" s="18">
        <v>1507.6324736809042</v>
      </c>
      <c r="AK20" s="18">
        <v>1537.7851231545224</v>
      </c>
      <c r="AL20" s="18">
        <v>1568.5408256176129</v>
      </c>
      <c r="AM20" s="18">
        <v>1599.9116421299652</v>
      </c>
    </row>
    <row r="21" spans="2:39" s="17" customFormat="1" ht="21" customHeight="1" x14ac:dyDescent="0.3">
      <c r="B21" s="7" t="s">
        <v>19</v>
      </c>
      <c r="C21" s="15"/>
      <c r="D21" s="18">
        <v>3500</v>
      </c>
      <c r="E21" s="18">
        <f>D21*(0.7)</f>
        <v>2450</v>
      </c>
      <c r="F21" s="18">
        <v>2548</v>
      </c>
      <c r="G21" s="18">
        <v>2649.92</v>
      </c>
      <c r="H21" s="18">
        <v>2755.9168</v>
      </c>
      <c r="I21" s="18">
        <v>2866.153472</v>
      </c>
      <c r="J21" s="18">
        <f>I21*(0.7)</f>
        <v>2006.3074303999999</v>
      </c>
      <c r="K21" s="18">
        <v>2086.5597276160001</v>
      </c>
      <c r="L21" s="18">
        <v>2170.02211672064</v>
      </c>
      <c r="M21" s="18">
        <v>2256.8230013894658</v>
      </c>
      <c r="N21" s="18">
        <v>2347.0959214450445</v>
      </c>
      <c r="O21" s="18">
        <v>2440.9797583028462</v>
      </c>
      <c r="P21" s="18">
        <v>2538.6189486349604</v>
      </c>
      <c r="Q21" s="18">
        <f t="shared" ref="Q21:R21" si="49">P21*(0.7)</f>
        <v>1777.0332640444722</v>
      </c>
      <c r="R21" s="18">
        <f t="shared" si="49"/>
        <v>1243.9232848311303</v>
      </c>
      <c r="S21" s="18">
        <v>1293.6802162243755</v>
      </c>
      <c r="T21" s="18">
        <v>1345.4274248733507</v>
      </c>
      <c r="U21" s="18">
        <v>1399.2445218682847</v>
      </c>
      <c r="V21" s="18">
        <v>1455.2143027430161</v>
      </c>
      <c r="W21" s="18">
        <v>1513.4228748527369</v>
      </c>
      <c r="X21" s="18">
        <f>W21*(0.7)</f>
        <v>1059.3960123969157</v>
      </c>
      <c r="Y21" s="18">
        <v>1101.7718528927924</v>
      </c>
      <c r="Z21" s="18">
        <v>1145.8427270085042</v>
      </c>
      <c r="AA21" s="18">
        <v>1191.6764360888444</v>
      </c>
      <c r="AB21" s="18">
        <f>AA21*(0.7)</f>
        <v>834.17350526219104</v>
      </c>
      <c r="AC21" s="18">
        <v>867.5404454726787</v>
      </c>
      <c r="AD21" s="18">
        <v>902.24206329158585</v>
      </c>
      <c r="AE21" s="18">
        <v>938.33174582324932</v>
      </c>
      <c r="AF21" s="18">
        <f>AE21*(0.7)</f>
        <v>656.83222207627443</v>
      </c>
      <c r="AG21" s="18">
        <v>683.10551095932544</v>
      </c>
      <c r="AH21" s="18">
        <v>710.42973139769845</v>
      </c>
      <c r="AI21" s="18">
        <f>AH21*(0.7)</f>
        <v>497.30081197838888</v>
      </c>
      <c r="AJ21" s="18">
        <v>517.19284445752442</v>
      </c>
      <c r="AK21" s="18">
        <v>537.88055823582545</v>
      </c>
      <c r="AL21" s="18">
        <v>559.39578056525852</v>
      </c>
      <c r="AM21" s="18">
        <f>AL21*(0.7)</f>
        <v>391.57704639568095</v>
      </c>
    </row>
    <row r="22" spans="2:39" s="17" customFormat="1" ht="21" customHeight="1" x14ac:dyDescent="0.3">
      <c r="B22" s="7" t="s">
        <v>20</v>
      </c>
      <c r="C22" s="15"/>
      <c r="D22" s="18">
        <v>350</v>
      </c>
      <c r="E22" s="18">
        <v>364</v>
      </c>
      <c r="F22" s="18">
        <v>378.56</v>
      </c>
      <c r="G22" s="18">
        <v>393.70240000000001</v>
      </c>
      <c r="H22" s="18">
        <v>409.45049600000004</v>
      </c>
      <c r="I22" s="18">
        <v>425.82851584000008</v>
      </c>
      <c r="J22" s="18">
        <v>442.86165647360008</v>
      </c>
      <c r="K22" s="18">
        <v>460.57612273254409</v>
      </c>
      <c r="L22" s="18">
        <v>478.99916764184587</v>
      </c>
      <c r="M22" s="18">
        <v>498.15913434751974</v>
      </c>
      <c r="N22" s="18">
        <v>518.08549972142055</v>
      </c>
      <c r="O22" s="18">
        <v>538.80891971027734</v>
      </c>
      <c r="P22" s="18">
        <v>560.36127649868843</v>
      </c>
      <c r="Q22" s="18">
        <v>582.77572755863594</v>
      </c>
      <c r="R22" s="18">
        <v>606.08675666098145</v>
      </c>
      <c r="S22" s="18">
        <v>630.33022692742077</v>
      </c>
      <c r="T22" s="18">
        <v>655.54343600451762</v>
      </c>
      <c r="U22" s="18">
        <v>681.76517344469835</v>
      </c>
      <c r="V22" s="18">
        <v>709.03578038248634</v>
      </c>
      <c r="W22" s="18">
        <v>737.39721159778583</v>
      </c>
      <c r="X22" s="18">
        <v>766.89310006169728</v>
      </c>
      <c r="Y22" s="18">
        <v>797.56882406416526</v>
      </c>
      <c r="Z22" s="18">
        <v>829.47157702673189</v>
      </c>
      <c r="AA22" s="18">
        <v>862.65044010780116</v>
      </c>
      <c r="AB22" s="18">
        <v>897.15645771211325</v>
      </c>
      <c r="AC22" s="18">
        <v>933.04271602059782</v>
      </c>
      <c r="AD22" s="18">
        <v>970.36442466142182</v>
      </c>
      <c r="AE22" s="18">
        <v>1009.1790016478787</v>
      </c>
      <c r="AF22" s="18">
        <v>1049.5461617137939</v>
      </c>
      <c r="AG22" s="18">
        <v>1091.5280081823457</v>
      </c>
      <c r="AH22" s="18">
        <v>1135.1891285096397</v>
      </c>
      <c r="AI22" s="18">
        <v>1180.5966936500254</v>
      </c>
      <c r="AJ22" s="18">
        <v>1227.8205613960265</v>
      </c>
      <c r="AK22" s="18">
        <v>1276.9333838518676</v>
      </c>
      <c r="AL22" s="18">
        <v>1328.0107192059422</v>
      </c>
      <c r="AM22" s="18">
        <v>1381.1311479741801</v>
      </c>
    </row>
    <row r="23" spans="2:39" s="17" customFormat="1" ht="21" customHeight="1" x14ac:dyDescent="0.3">
      <c r="B23" s="6" t="s">
        <v>21</v>
      </c>
      <c r="C23" s="15"/>
      <c r="D23" s="19">
        <f t="shared" ref="D23:AM23" si="50">SUM(D22, D21, D20 + D19)</f>
        <v>4650</v>
      </c>
      <c r="E23" s="19">
        <f t="shared" ref="E23:AL23" si="51">SUM(E22, E21, E20 + E19)</f>
        <v>3630</v>
      </c>
      <c r="F23" s="19">
        <f t="shared" si="51"/>
        <v>3758.88</v>
      </c>
      <c r="G23" s="19">
        <f t="shared" si="51"/>
        <v>3892.5888000000004</v>
      </c>
      <c r="H23" s="19">
        <f t="shared" si="51"/>
        <v>4031.313024</v>
      </c>
      <c r="I23" s="19">
        <f t="shared" si="51"/>
        <v>4175.2466304</v>
      </c>
      <c r="J23" s="19">
        <f t="shared" si="51"/>
        <v>3350.0990222848</v>
      </c>
      <c r="K23" s="19">
        <f t="shared" si="51"/>
        <v>3466.0843844679684</v>
      </c>
      <c r="L23" s="19">
        <f t="shared" si="51"/>
        <v>3586.3487891642985</v>
      </c>
      <c r="M23" s="19">
        <f t="shared" si="51"/>
        <v>3711.0561906348344</v>
      </c>
      <c r="N23" s="19">
        <f t="shared" si="51"/>
        <v>3840.3769571622706</v>
      </c>
      <c r="O23" s="19">
        <f t="shared" si="51"/>
        <v>3974.4881247288454</v>
      </c>
      <c r="P23" s="19">
        <f t="shared" si="51"/>
        <v>4113.5736607836852</v>
      </c>
      <c r="Q23" s="19">
        <f t="shared" si="51"/>
        <v>3394.6942959661455</v>
      </c>
      <c r="R23" s="19">
        <f t="shared" si="51"/>
        <v>2905.5930519424096</v>
      </c>
      <c r="S23" s="19">
        <f t="shared" si="51"/>
        <v>3000.7051138111001</v>
      </c>
      <c r="T23" s="19">
        <f t="shared" si="51"/>
        <v>3099.1994249503587</v>
      </c>
      <c r="U23" s="19">
        <f t="shared" si="51"/>
        <v>3201.2028306669235</v>
      </c>
      <c r="V23" s="19">
        <f t="shared" si="51"/>
        <v>3306.8470811865213</v>
      </c>
      <c r="W23" s="19">
        <f t="shared" si="51"/>
        <v>3416.2690244727619</v>
      </c>
      <c r="X23" s="19">
        <f t="shared" si="51"/>
        <v>3015.0470292412974</v>
      </c>
      <c r="Y23" s="19">
        <f t="shared" si="51"/>
        <v>3111.8737520752957</v>
      </c>
      <c r="Z23" s="19">
        <f t="shared" si="51"/>
        <v>3212.0980406559406</v>
      </c>
      <c r="AA23" s="19">
        <f t="shared" si="51"/>
        <v>3315.8462875497644</v>
      </c>
      <c r="AB23" s="19">
        <f t="shared" si="51"/>
        <v>3018.0797625544851</v>
      </c>
      <c r="AC23" s="19">
        <f t="shared" si="51"/>
        <v>3113.0679570650609</v>
      </c>
      <c r="AD23" s="19">
        <f t="shared" si="51"/>
        <v>3211.3409794362278</v>
      </c>
      <c r="AE23" s="19">
        <f t="shared" si="51"/>
        <v>3313.0199287840128</v>
      </c>
      <c r="AF23" s="19">
        <f t="shared" si="51"/>
        <v>3099.1977487292106</v>
      </c>
      <c r="AG23" s="19">
        <f t="shared" si="51"/>
        <v>3195.3092713795963</v>
      </c>
      <c r="AH23" s="19">
        <f t="shared" si="51"/>
        <v>3294.7081271900215</v>
      </c>
      <c r="AI23" s="19">
        <f t="shared" si="51"/>
        <v>3155.9685582567517</v>
      </c>
      <c r="AJ23" s="19">
        <f t="shared" si="51"/>
        <v>3252.6458795344552</v>
      </c>
      <c r="AK23" s="19">
        <f t="shared" si="51"/>
        <v>3352.5990652422151</v>
      </c>
      <c r="AL23" s="19">
        <f t="shared" si="51"/>
        <v>3455.9473253888136</v>
      </c>
      <c r="AM23" s="19">
        <f t="shared" si="50"/>
        <v>3372.6198364998263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1000</v>
      </c>
      <c r="E25" s="18">
        <v>1040</v>
      </c>
      <c r="F25" s="18">
        <v>1081.6000000000001</v>
      </c>
      <c r="G25" s="18">
        <v>1124.8640000000003</v>
      </c>
      <c r="H25" s="18">
        <v>1169.8585600000004</v>
      </c>
      <c r="I25" s="18">
        <v>1216.6529024000004</v>
      </c>
      <c r="J25" s="18">
        <f>I25*(0.7)</f>
        <v>851.65703168000016</v>
      </c>
      <c r="K25" s="18">
        <v>885.72331294720016</v>
      </c>
      <c r="L25" s="18">
        <v>921.15224546508819</v>
      </c>
      <c r="M25" s="18">
        <v>957.99833528369174</v>
      </c>
      <c r="N25" s="18">
        <v>996.31826869503948</v>
      </c>
      <c r="O25" s="18">
        <v>1036.1709994428411</v>
      </c>
      <c r="P25" s="18">
        <v>1077.6178394205547</v>
      </c>
      <c r="Q25" s="18">
        <v>1120.7225529973769</v>
      </c>
      <c r="R25" s="18">
        <v>1165.5514551172719</v>
      </c>
      <c r="S25" s="18">
        <v>1212.1735133219629</v>
      </c>
      <c r="T25" s="18">
        <v>1260.6604538548415</v>
      </c>
      <c r="U25" s="18">
        <v>1311.0868720090352</v>
      </c>
      <c r="V25" s="18">
        <v>1363.5303468893967</v>
      </c>
      <c r="W25" s="18">
        <f>V25*(0.7)</f>
        <v>954.47124282257766</v>
      </c>
      <c r="X25" s="18">
        <v>992.65009253548078</v>
      </c>
      <c r="Y25" s="18">
        <v>1032.3560962369002</v>
      </c>
      <c r="Z25" s="18">
        <v>1073.6503400863762</v>
      </c>
      <c r="AA25" s="18">
        <v>1116.5963536898314</v>
      </c>
      <c r="AB25" s="18">
        <v>1161.2602078374248</v>
      </c>
      <c r="AC25" s="18">
        <f>AB25*(0.7)</f>
        <v>812.88214548619726</v>
      </c>
      <c r="AD25" s="18">
        <v>845.39743130564523</v>
      </c>
      <c r="AE25" s="18">
        <v>879.21332855787102</v>
      </c>
      <c r="AF25" s="18">
        <v>914.38186170018594</v>
      </c>
      <c r="AG25" s="18">
        <v>950.95713616819341</v>
      </c>
      <c r="AH25" s="18">
        <v>988.99542161492116</v>
      </c>
      <c r="AI25" s="18">
        <v>1028.555238479518</v>
      </c>
      <c r="AJ25" s="18">
        <f>AI25*(0.7)</f>
        <v>719.98866693566254</v>
      </c>
      <c r="AK25" s="18">
        <v>748.78821361308906</v>
      </c>
      <c r="AL25" s="18">
        <v>778.73974215761268</v>
      </c>
      <c r="AM25" s="18">
        <v>809.88933184391726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1500</v>
      </c>
      <c r="E27" s="18">
        <v>1530</v>
      </c>
      <c r="F27" s="18">
        <v>1560.6000000000001</v>
      </c>
      <c r="G27" s="18">
        <v>1591.8120000000001</v>
      </c>
      <c r="H27" s="18">
        <v>1623.6482400000002</v>
      </c>
      <c r="I27" s="18">
        <f>H27*(0.7)</f>
        <v>1136.553768</v>
      </c>
      <c r="J27" s="18">
        <v>1159.28484336</v>
      </c>
      <c r="K27" s="18">
        <v>1182.4705402272</v>
      </c>
      <c r="L27" s="18">
        <v>1206.119951031744</v>
      </c>
      <c r="M27" s="18">
        <v>1230.2423500523789</v>
      </c>
      <c r="N27" s="18">
        <v>1254.8471970534265</v>
      </c>
      <c r="O27" s="18">
        <v>1279.944140994495</v>
      </c>
      <c r="P27" s="18">
        <f>O27*(0.7)</f>
        <v>895.96089869614639</v>
      </c>
      <c r="Q27" s="18">
        <v>913.88011667006936</v>
      </c>
      <c r="R27" s="18">
        <v>932.15771900347079</v>
      </c>
      <c r="S27" s="18">
        <v>950.80087338354019</v>
      </c>
      <c r="T27" s="18">
        <v>969.81689085121104</v>
      </c>
      <c r="U27" s="18">
        <v>989.21322866823527</v>
      </c>
      <c r="V27" s="18">
        <f>U27*(0.7)</f>
        <v>692.44926006776461</v>
      </c>
      <c r="W27" s="18">
        <v>706.29824526911989</v>
      </c>
      <c r="X27" s="18">
        <v>720.42421017450226</v>
      </c>
      <c r="Y27" s="18">
        <v>734.83269437799231</v>
      </c>
      <c r="Z27" s="18">
        <f>Y27*(0.7)</f>
        <v>514.38288606459457</v>
      </c>
      <c r="AA27" s="18">
        <v>524.67054378588648</v>
      </c>
      <c r="AB27" s="18">
        <v>535.16395466160418</v>
      </c>
      <c r="AC27" s="18">
        <v>545.86723375483632</v>
      </c>
      <c r="AD27" s="18">
        <v>556.78457842993305</v>
      </c>
      <c r="AE27" s="18">
        <v>567.92026999853169</v>
      </c>
      <c r="AF27" s="18">
        <v>579.27867539850229</v>
      </c>
      <c r="AG27" s="18">
        <v>590.86424890647231</v>
      </c>
      <c r="AH27" s="18">
        <v>602.68153388460178</v>
      </c>
      <c r="AI27" s="18">
        <v>614.73516456229379</v>
      </c>
      <c r="AJ27" s="18">
        <v>627.02986785353971</v>
      </c>
      <c r="AK27" s="18">
        <v>639.57046521061056</v>
      </c>
      <c r="AL27" s="18">
        <v>652.36187451482283</v>
      </c>
      <c r="AM27" s="18">
        <v>665.40911200511925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f>D28*(0.6)</f>
        <v>1200</v>
      </c>
      <c r="F28" s="18">
        <v>1248</v>
      </c>
      <c r="G28" s="18">
        <v>1297.92</v>
      </c>
      <c r="H28" s="18">
        <v>1349.8368</v>
      </c>
      <c r="I28" s="18">
        <v>1403.8302720000002</v>
      </c>
      <c r="J28" s="18">
        <v>1459.9834828800001</v>
      </c>
      <c r="K28" s="18">
        <v>1518.3828221952001</v>
      </c>
      <c r="L28" s="18">
        <f>K28*(0.6)</f>
        <v>911.02969331712006</v>
      </c>
      <c r="M28" s="18">
        <v>947.47088104980492</v>
      </c>
      <c r="N28" s="18">
        <v>985.36971629179709</v>
      </c>
      <c r="O28" s="18">
        <v>1024.7845049434691</v>
      </c>
      <c r="P28" s="18">
        <v>1065.7758851412079</v>
      </c>
      <c r="Q28" s="18">
        <v>1108.4069205468563</v>
      </c>
      <c r="R28" s="18">
        <v>1152.7431973687305</v>
      </c>
      <c r="S28" s="18">
        <v>1198.8529252634798</v>
      </c>
      <c r="T28" s="18">
        <v>1246.8070422740191</v>
      </c>
      <c r="U28" s="18">
        <v>1296.6793239649799</v>
      </c>
      <c r="V28" s="18">
        <v>1348.5464969235791</v>
      </c>
      <c r="W28" s="18">
        <f>V28*(0.6)</f>
        <v>809.12789815414737</v>
      </c>
      <c r="X28" s="18">
        <v>841.49301408031329</v>
      </c>
      <c r="Y28" s="18">
        <v>875.15273464352583</v>
      </c>
      <c r="Z28" s="18">
        <v>910.1588440292669</v>
      </c>
      <c r="AA28" s="18">
        <v>946.56519779043765</v>
      </c>
      <c r="AB28" s="18">
        <v>984.42780570205514</v>
      </c>
      <c r="AC28" s="18">
        <v>1023.8049179301374</v>
      </c>
      <c r="AD28" s="18">
        <v>1064.7571146473429</v>
      </c>
      <c r="AE28" s="18">
        <f>AD28*(0.6)</f>
        <v>638.85426878840565</v>
      </c>
      <c r="AF28" s="18">
        <v>664.40843953994192</v>
      </c>
      <c r="AG28" s="18">
        <v>690.98477712153965</v>
      </c>
      <c r="AH28" s="18">
        <v>718.62416820640124</v>
      </c>
      <c r="AI28" s="18">
        <v>747.36913493465727</v>
      </c>
      <c r="AJ28" s="18">
        <v>777.26390033204359</v>
      </c>
      <c r="AK28" s="18">
        <v>808.35445634532539</v>
      </c>
      <c r="AL28" s="18">
        <v>840.68863459913848</v>
      </c>
      <c r="AM28" s="18">
        <v>874.31617998310401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2">SUM(D28, D27, D26, D25 + D24)</f>
        <v>4500</v>
      </c>
      <c r="E29" s="19">
        <f t="shared" ref="E29:AL29" si="53">SUM(E28, E27, E26, E25 + E24)</f>
        <v>3770</v>
      </c>
      <c r="F29" s="19">
        <f t="shared" si="53"/>
        <v>3890.2000000000007</v>
      </c>
      <c r="G29" s="19">
        <f t="shared" si="53"/>
        <v>4014.5960000000005</v>
      </c>
      <c r="H29" s="19">
        <f t="shared" si="53"/>
        <v>4143.3436000000011</v>
      </c>
      <c r="I29" s="19">
        <f t="shared" si="53"/>
        <v>3757.0369424</v>
      </c>
      <c r="J29" s="19">
        <f t="shared" si="53"/>
        <v>3470.9253579200004</v>
      </c>
      <c r="K29" s="19">
        <f t="shared" si="53"/>
        <v>3586.5766753696003</v>
      </c>
      <c r="L29" s="19">
        <f t="shared" si="53"/>
        <v>3038.3018898139521</v>
      </c>
      <c r="M29" s="19">
        <f t="shared" si="53"/>
        <v>3135.7115663858754</v>
      </c>
      <c r="N29" s="19">
        <f t="shared" si="53"/>
        <v>3236.535182040263</v>
      </c>
      <c r="O29" s="19">
        <f t="shared" si="53"/>
        <v>3340.8996453808049</v>
      </c>
      <c r="P29" s="19">
        <f t="shared" si="53"/>
        <v>3039.3546232579092</v>
      </c>
      <c r="Q29" s="19">
        <f t="shared" si="53"/>
        <v>3143.0095902143025</v>
      </c>
      <c r="R29" s="19">
        <f t="shared" si="53"/>
        <v>3250.4523714894731</v>
      </c>
      <c r="S29" s="19">
        <f t="shared" si="53"/>
        <v>3361.8273119689829</v>
      </c>
      <c r="T29" s="19">
        <f t="shared" si="53"/>
        <v>3477.2843869800718</v>
      </c>
      <c r="U29" s="19">
        <f t="shared" si="53"/>
        <v>3596.9794246422503</v>
      </c>
      <c r="V29" s="19">
        <f t="shared" si="53"/>
        <v>3404.5261038807403</v>
      </c>
      <c r="W29" s="19">
        <f t="shared" si="53"/>
        <v>2469.8973862458447</v>
      </c>
      <c r="X29" s="19">
        <f t="shared" si="53"/>
        <v>2554.5673167902964</v>
      </c>
      <c r="Y29" s="19">
        <f t="shared" si="53"/>
        <v>2642.3415252584182</v>
      </c>
      <c r="Z29" s="19">
        <f t="shared" si="53"/>
        <v>2498.1920701802378</v>
      </c>
      <c r="AA29" s="19">
        <f t="shared" si="53"/>
        <v>2587.8320952661552</v>
      </c>
      <c r="AB29" s="19">
        <f t="shared" si="53"/>
        <v>2680.8519682010842</v>
      </c>
      <c r="AC29" s="19">
        <f t="shared" si="53"/>
        <v>2382.5542971711711</v>
      </c>
      <c r="AD29" s="19">
        <f t="shared" si="53"/>
        <v>2466.9391243829209</v>
      </c>
      <c r="AE29" s="19">
        <f t="shared" si="53"/>
        <v>2085.9878673448084</v>
      </c>
      <c r="AF29" s="19">
        <f t="shared" si="53"/>
        <v>2158.0689766386304</v>
      </c>
      <c r="AG29" s="19">
        <f t="shared" si="53"/>
        <v>2232.8061621962052</v>
      </c>
      <c r="AH29" s="19">
        <f t="shared" si="53"/>
        <v>2310.3011237059241</v>
      </c>
      <c r="AI29" s="19">
        <f t="shared" si="53"/>
        <v>2390.6595379764694</v>
      </c>
      <c r="AJ29" s="19">
        <f t="shared" si="53"/>
        <v>2124.2824351212457</v>
      </c>
      <c r="AK29" s="19">
        <f t="shared" si="53"/>
        <v>2196.713135169025</v>
      </c>
      <c r="AL29" s="19">
        <f t="shared" si="53"/>
        <v>2271.7902512715737</v>
      </c>
      <c r="AM29" s="19">
        <f t="shared" si="52"/>
        <v>2349.6146238321408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6500</v>
      </c>
      <c r="E31" s="18">
        <v>6630</v>
      </c>
      <c r="F31" s="18">
        <f>E31*(0.9)</f>
        <v>5967</v>
      </c>
      <c r="G31" s="18">
        <v>6086.34</v>
      </c>
      <c r="H31" s="18">
        <v>6208.0668000000005</v>
      </c>
      <c r="I31" s="18">
        <v>6332.2281360000006</v>
      </c>
      <c r="J31" s="18">
        <v>6458.8726987200007</v>
      </c>
      <c r="K31" s="18">
        <v>6588.0501526944008</v>
      </c>
      <c r="L31" s="18">
        <f>K31*(0.9)</f>
        <v>5929.2451374249613</v>
      </c>
      <c r="M31" s="18">
        <v>6047.8300401734605</v>
      </c>
      <c r="N31" s="18">
        <v>6168.7866409769294</v>
      </c>
      <c r="O31" s="18">
        <v>6292.1623737964683</v>
      </c>
      <c r="P31" s="18">
        <v>6418.0056212723975</v>
      </c>
      <c r="Q31" s="18">
        <v>6546.3657336978458</v>
      </c>
      <c r="R31" s="18">
        <v>6677.2930483718028</v>
      </c>
      <c r="S31" s="18">
        <v>6810.8389093392389</v>
      </c>
      <c r="T31" s="18">
        <v>6947.0556875260236</v>
      </c>
      <c r="U31" s="18">
        <f>T31*(0.9)</f>
        <v>6252.3501187734209</v>
      </c>
      <c r="V31" s="18">
        <v>6377.3971211488897</v>
      </c>
      <c r="W31" s="18">
        <v>6504.9450635718676</v>
      </c>
      <c r="X31" s="18">
        <v>6635.0439648433048</v>
      </c>
      <c r="Y31" s="18">
        <v>6767.7448441401712</v>
      </c>
      <c r="Z31" s="18">
        <v>6903.0997410229747</v>
      </c>
      <c r="AA31" s="18">
        <v>7041.1617358434341</v>
      </c>
      <c r="AB31" s="18">
        <f>AA31*(0.9)</f>
        <v>6337.0455622590907</v>
      </c>
      <c r="AC31" s="18">
        <v>6463.7864735042731</v>
      </c>
      <c r="AD31" s="18">
        <v>6593.062202974359</v>
      </c>
      <c r="AE31" s="18">
        <v>6724.9234470338461</v>
      </c>
      <c r="AF31" s="18">
        <v>6859.4219159745235</v>
      </c>
      <c r="AG31" s="18">
        <v>6996.6103542940136</v>
      </c>
      <c r="AH31" s="18">
        <v>7136.5425613798943</v>
      </c>
      <c r="AI31" s="18">
        <v>7279.273412607492</v>
      </c>
      <c r="AJ31" s="18">
        <v>7424.8588808596423</v>
      </c>
      <c r="AK31" s="18">
        <f>AJ31*(0.9)</f>
        <v>6682.3729927736786</v>
      </c>
      <c r="AL31" s="18">
        <v>6816.0204526291518</v>
      </c>
      <c r="AM31" s="18">
        <v>6952.3408616817351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936.36</v>
      </c>
      <c r="F32" s="18">
        <v>955.08720000000005</v>
      </c>
      <c r="G32" s="18">
        <v>974.18894400000011</v>
      </c>
      <c r="H32" s="18">
        <v>993.67272288000015</v>
      </c>
      <c r="I32" s="18">
        <v>1013.5461773376002</v>
      </c>
      <c r="J32" s="18">
        <v>1033.8171008843522</v>
      </c>
      <c r="K32" s="18">
        <v>1054.4934429020393</v>
      </c>
      <c r="L32" s="18">
        <v>1075.5833117600801</v>
      </c>
      <c r="M32" s="18">
        <v>1097.0949779952816</v>
      </c>
      <c r="N32" s="18">
        <v>1119.0368775551872</v>
      </c>
      <c r="O32" s="18">
        <v>1141.4176151062909</v>
      </c>
      <c r="P32" s="18">
        <v>1164.2459674084168</v>
      </c>
      <c r="Q32" s="18">
        <v>1187.5308867565852</v>
      </c>
      <c r="R32" s="18">
        <v>1211.281504491717</v>
      </c>
      <c r="S32" s="18">
        <v>1235.5071345815513</v>
      </c>
      <c r="T32" s="18">
        <v>1260.2172772731824</v>
      </c>
      <c r="U32" s="18">
        <v>1285.421622818646</v>
      </c>
      <c r="V32" s="18">
        <v>1311.130055275019</v>
      </c>
      <c r="W32" s="18">
        <v>1337.3526563805194</v>
      </c>
      <c r="X32" s="18">
        <v>1364.0997095081298</v>
      </c>
      <c r="Y32" s="18">
        <v>1391.3817036982923</v>
      </c>
      <c r="Z32" s="18">
        <v>1419.2093377722581</v>
      </c>
      <c r="AA32" s="18">
        <v>1447.5935245277033</v>
      </c>
      <c r="AB32" s="18">
        <v>1476.5453950182573</v>
      </c>
      <c r="AC32" s="18">
        <v>1506.0763029186226</v>
      </c>
      <c r="AD32" s="18">
        <v>1536.197828976995</v>
      </c>
      <c r="AE32" s="18">
        <v>1566.9217855565348</v>
      </c>
      <c r="AF32" s="18">
        <v>1598.2602212676654</v>
      </c>
      <c r="AG32" s="18">
        <v>1630.2254256930187</v>
      </c>
      <c r="AH32" s="18">
        <v>1662.829934206879</v>
      </c>
      <c r="AI32" s="18">
        <v>1696.0865328910165</v>
      </c>
      <c r="AJ32" s="18">
        <v>1730.0082635488368</v>
      </c>
      <c r="AK32" s="18">
        <v>1764.6084288198135</v>
      </c>
      <c r="AL32" s="18">
        <v>1799.9005973962098</v>
      </c>
      <c r="AM32" s="18">
        <v>1835.898609344134</v>
      </c>
    </row>
    <row r="33" spans="2:39" s="17" customFormat="1" ht="21" customHeight="1" x14ac:dyDescent="0.3">
      <c r="B33" s="7" t="s">
        <v>31</v>
      </c>
      <c r="C33" s="15"/>
      <c r="D33" s="18">
        <v>700</v>
      </c>
      <c r="E33" s="18">
        <v>728</v>
      </c>
      <c r="F33" s="18">
        <v>757.12</v>
      </c>
      <c r="G33" s="18">
        <v>787.40480000000002</v>
      </c>
      <c r="H33" s="18">
        <v>818.90099200000009</v>
      </c>
      <c r="I33" s="18">
        <v>851.65703168000016</v>
      </c>
      <c r="J33" s="18">
        <v>885.72331294720016</v>
      </c>
      <c r="K33" s="18">
        <v>921.15224546508819</v>
      </c>
      <c r="L33" s="18">
        <v>957.99833528369174</v>
      </c>
      <c r="M33" s="18">
        <v>996.31826869503948</v>
      </c>
      <c r="N33" s="18">
        <v>1036.1709994428411</v>
      </c>
      <c r="O33" s="18">
        <v>1077.6178394205547</v>
      </c>
      <c r="P33" s="18">
        <v>1120.7225529973769</v>
      </c>
      <c r="Q33" s="18">
        <v>1165.5514551172719</v>
      </c>
      <c r="R33" s="18">
        <v>1212.1735133219629</v>
      </c>
      <c r="S33" s="18">
        <v>1260.6604538548415</v>
      </c>
      <c r="T33" s="18">
        <v>1311.0868720090352</v>
      </c>
      <c r="U33" s="18">
        <v>1363.5303468893967</v>
      </c>
      <c r="V33" s="18">
        <v>1418.0715607649727</v>
      </c>
      <c r="W33" s="18">
        <v>1474.7944231955717</v>
      </c>
      <c r="X33" s="18">
        <v>1533.7862001233946</v>
      </c>
      <c r="Y33" s="18">
        <v>1595.1376481283305</v>
      </c>
      <c r="Z33" s="18">
        <v>1658.9431540534638</v>
      </c>
      <c r="AA33" s="18">
        <v>1725.3008802156023</v>
      </c>
      <c r="AB33" s="18">
        <v>1794.3129154242265</v>
      </c>
      <c r="AC33" s="18">
        <v>1866.0854320411956</v>
      </c>
      <c r="AD33" s="18">
        <v>1940.7288493228436</v>
      </c>
      <c r="AE33" s="18">
        <v>2018.3580032957575</v>
      </c>
      <c r="AF33" s="18">
        <v>2099.0923234275879</v>
      </c>
      <c r="AG33" s="18">
        <v>2183.0560163646915</v>
      </c>
      <c r="AH33" s="18">
        <v>2270.3782570192793</v>
      </c>
      <c r="AI33" s="18">
        <v>2361.1933873000507</v>
      </c>
      <c r="AJ33" s="18">
        <v>2455.641122792053</v>
      </c>
      <c r="AK33" s="18">
        <v>2553.8667677037351</v>
      </c>
      <c r="AL33" s="18">
        <v>2656.0214384118844</v>
      </c>
      <c r="AM33" s="18">
        <v>2762.2622959483601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4">SUM(D35, D34, D33, D32, D31 + D30)</f>
        <v>8175.375</v>
      </c>
      <c r="E36" s="19">
        <f t="shared" ref="E36:AL36" si="55">SUM(E35, E34, E33, E32, E31 + E30)</f>
        <v>8354.0300000000007</v>
      </c>
      <c r="F36" s="19">
        <f t="shared" si="55"/>
        <v>7741.2640000000001</v>
      </c>
      <c r="G36" s="19">
        <f t="shared" si="55"/>
        <v>7912.4728160000004</v>
      </c>
      <c r="H36" s="19">
        <f t="shared" si="55"/>
        <v>8087.761149760001</v>
      </c>
      <c r="I36" s="19">
        <f t="shared" si="55"/>
        <v>8267.2368052928014</v>
      </c>
      <c r="J36" s="19">
        <f t="shared" si="55"/>
        <v>8451.0107912377607</v>
      </c>
      <c r="K36" s="19">
        <f t="shared" si="55"/>
        <v>8639.1974268951853</v>
      </c>
      <c r="L36" s="19">
        <f t="shared" si="55"/>
        <v>8041.3484337357359</v>
      </c>
      <c r="M36" s="19">
        <f t="shared" si="55"/>
        <v>8222.9058021014644</v>
      </c>
      <c r="N36" s="19">
        <f t="shared" si="55"/>
        <v>8408.9235338221479</v>
      </c>
      <c r="O36" s="19">
        <f t="shared" si="55"/>
        <v>8599.5240048043925</v>
      </c>
      <c r="P36" s="19">
        <f t="shared" si="55"/>
        <v>8794.833365218512</v>
      </c>
      <c r="Q36" s="19">
        <f t="shared" si="55"/>
        <v>8994.9816680536369</v>
      </c>
      <c r="R36" s="19">
        <f t="shared" si="55"/>
        <v>9200.1030023666935</v>
      </c>
      <c r="S36" s="19">
        <f t="shared" si="55"/>
        <v>9410.3356314040902</v>
      </c>
      <c r="T36" s="19">
        <f t="shared" si="55"/>
        <v>9625.8221357818384</v>
      </c>
      <c r="U36" s="19">
        <f t="shared" si="55"/>
        <v>9013.0628794140048</v>
      </c>
      <c r="V36" s="19">
        <f t="shared" si="55"/>
        <v>9222.8299597587247</v>
      </c>
      <c r="W36" s="19">
        <f t="shared" si="55"/>
        <v>9437.9726146205958</v>
      </c>
      <c r="X36" s="19">
        <f t="shared" si="55"/>
        <v>9658.6455648063711</v>
      </c>
      <c r="Y36" s="19">
        <f t="shared" si="55"/>
        <v>9885.0085139115981</v>
      </c>
      <c r="Z36" s="19">
        <f t="shared" si="55"/>
        <v>10117.226323511293</v>
      </c>
      <c r="AA36" s="19">
        <f t="shared" si="55"/>
        <v>10355.469194875841</v>
      </c>
      <c r="AB36" s="19">
        <f t="shared" si="55"/>
        <v>9754.9734491622385</v>
      </c>
      <c r="AC36" s="19">
        <f t="shared" si="55"/>
        <v>9988.9005679831826</v>
      </c>
      <c r="AD36" s="19">
        <f t="shared" si="55"/>
        <v>10229.059335174052</v>
      </c>
      <c r="AE36" s="19">
        <f t="shared" si="55"/>
        <v>10475.636507941987</v>
      </c>
      <c r="AF36" s="19">
        <f t="shared" si="55"/>
        <v>10728.825063607859</v>
      </c>
      <c r="AG36" s="19">
        <f t="shared" si="55"/>
        <v>10988.82442340733</v>
      </c>
      <c r="AH36" s="19">
        <f t="shared" si="55"/>
        <v>11255.840684743882</v>
      </c>
      <c r="AI36" s="19">
        <f t="shared" si="55"/>
        <v>11530.086862221902</v>
      </c>
      <c r="AJ36" s="19">
        <f t="shared" si="55"/>
        <v>11811.783137800809</v>
      </c>
      <c r="AK36" s="19">
        <f t="shared" si="55"/>
        <v>11210.174054721516</v>
      </c>
      <c r="AL36" s="19">
        <f t="shared" si="55"/>
        <v>11489.641388478507</v>
      </c>
      <c r="AM36" s="19">
        <f t="shared" si="54"/>
        <v>11776.908623017138</v>
      </c>
    </row>
    <row r="37" spans="2:39" s="17" customFormat="1" ht="21" customHeight="1" x14ac:dyDescent="0.3">
      <c r="B37" s="7" t="s">
        <v>35</v>
      </c>
      <c r="C37" s="15"/>
      <c r="D37" s="18">
        <v>150</v>
      </c>
      <c r="E37" s="18">
        <v>156</v>
      </c>
      <c r="F37" s="18">
        <v>162.24</v>
      </c>
      <c r="G37" s="18">
        <v>168.7296</v>
      </c>
      <c r="H37" s="18">
        <v>175.47878400000002</v>
      </c>
      <c r="I37" s="18">
        <v>182.49793536000001</v>
      </c>
      <c r="J37" s="18">
        <v>189.79785277440001</v>
      </c>
      <c r="K37" s="18">
        <v>197.38976688537602</v>
      </c>
      <c r="L37" s="18">
        <v>205.28535756079106</v>
      </c>
      <c r="M37" s="18">
        <v>213.4967718632227</v>
      </c>
      <c r="N37" s="18">
        <v>222.03664273775163</v>
      </c>
      <c r="O37" s="18">
        <v>230.91810844726172</v>
      </c>
      <c r="P37" s="18">
        <v>240.15483278515219</v>
      </c>
      <c r="Q37" s="18">
        <v>249.76102609655828</v>
      </c>
      <c r="R37" s="18">
        <v>259.75146714042063</v>
      </c>
      <c r="S37" s="18">
        <v>270.14152582603748</v>
      </c>
      <c r="T37" s="18">
        <v>280.94718685907901</v>
      </c>
      <c r="U37" s="18">
        <v>292.18507433344217</v>
      </c>
      <c r="V37" s="18">
        <v>303.8724773067799</v>
      </c>
      <c r="W37" s="18">
        <v>316.02737639905109</v>
      </c>
      <c r="X37" s="18">
        <v>328.66847145501316</v>
      </c>
      <c r="Y37" s="18">
        <v>341.8152103132137</v>
      </c>
      <c r="Z37" s="18">
        <v>355.48781872574227</v>
      </c>
      <c r="AA37" s="18">
        <v>369.70733147477199</v>
      </c>
      <c r="AB37" s="18">
        <v>384.4956247337629</v>
      </c>
      <c r="AC37" s="18">
        <v>399.87544972311343</v>
      </c>
      <c r="AD37" s="18">
        <v>415.87046771203796</v>
      </c>
      <c r="AE37" s="18">
        <v>432.5052864205195</v>
      </c>
      <c r="AF37" s="18">
        <v>449.80549787734031</v>
      </c>
      <c r="AG37" s="18">
        <v>467.79771779243396</v>
      </c>
      <c r="AH37" s="18">
        <v>486.50962650413135</v>
      </c>
      <c r="AI37" s="18">
        <v>505.97001156429661</v>
      </c>
      <c r="AJ37" s="18">
        <v>526.20881202686849</v>
      </c>
      <c r="AK37" s="18">
        <v>547.25716450794323</v>
      </c>
      <c r="AL37" s="18">
        <v>569.14745108826094</v>
      </c>
      <c r="AM37" s="18">
        <v>591.91334913179139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884</v>
      </c>
      <c r="F39" s="18">
        <v>919.36</v>
      </c>
      <c r="G39" s="18">
        <v>956.13440000000003</v>
      </c>
      <c r="H39" s="18">
        <v>994.37977600000011</v>
      </c>
      <c r="I39" s="18">
        <v>1034.1549670400002</v>
      </c>
      <c r="J39" s="18">
        <v>1075.5211657216003</v>
      </c>
      <c r="K39" s="18">
        <v>1118.5420123504643</v>
      </c>
      <c r="L39" s="18">
        <v>1163.2836928444829</v>
      </c>
      <c r="M39" s="18">
        <v>1209.8150405582621</v>
      </c>
      <c r="N39" s="18">
        <v>1258.2076421805928</v>
      </c>
      <c r="O39" s="18">
        <v>1308.5359478678165</v>
      </c>
      <c r="P39" s="18">
        <v>1360.8773857825292</v>
      </c>
      <c r="Q39" s="18">
        <v>1415.3124812138306</v>
      </c>
      <c r="R39" s="18">
        <v>1471.9249804623839</v>
      </c>
      <c r="S39" s="18">
        <v>1530.8019796808794</v>
      </c>
      <c r="T39" s="18">
        <v>1592.0340588681147</v>
      </c>
      <c r="U39" s="18">
        <v>1655.7154212228393</v>
      </c>
      <c r="V39" s="18">
        <v>1721.9440380717529</v>
      </c>
      <c r="W39" s="18">
        <v>1790.8217995946231</v>
      </c>
      <c r="X39" s="18">
        <v>1862.4546715784081</v>
      </c>
      <c r="Y39" s="18">
        <v>1936.9528584415445</v>
      </c>
      <c r="Z39" s="18">
        <v>2014.4309727792065</v>
      </c>
      <c r="AA39" s="18">
        <v>2095.008211690375</v>
      </c>
      <c r="AB39" s="18">
        <v>2178.8085401579901</v>
      </c>
      <c r="AC39" s="18">
        <v>2265.9608817643098</v>
      </c>
      <c r="AD39" s="18">
        <v>2356.599317034882</v>
      </c>
      <c r="AE39" s="18">
        <v>2450.8632897162774</v>
      </c>
      <c r="AF39" s="18">
        <v>2548.8978213049286</v>
      </c>
      <c r="AG39" s="18">
        <v>2650.8537341571259</v>
      </c>
      <c r="AH39" s="18">
        <v>2756.8878835234109</v>
      </c>
      <c r="AI39" s="18">
        <v>2867.1633988643475</v>
      </c>
      <c r="AJ39" s="18">
        <v>2981.8499348189216</v>
      </c>
      <c r="AK39" s="18">
        <v>3101.1239322116785</v>
      </c>
      <c r="AL39" s="18">
        <v>3225.1688895001457</v>
      </c>
      <c r="AM39" s="18">
        <v>3354.1756450801518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612</v>
      </c>
      <c r="F40" s="18">
        <v>624.24</v>
      </c>
      <c r="G40" s="18">
        <v>636.72480000000007</v>
      </c>
      <c r="H40" s="18">
        <v>649.45929600000011</v>
      </c>
      <c r="I40" s="18">
        <v>662.44848192000018</v>
      </c>
      <c r="J40" s="18">
        <v>675.69745155840019</v>
      </c>
      <c r="K40" s="18">
        <v>689.21140058956826</v>
      </c>
      <c r="L40" s="18">
        <v>702.99562860135961</v>
      </c>
      <c r="M40" s="18">
        <v>717.05554117338681</v>
      </c>
      <c r="N40" s="18">
        <v>731.39665199685453</v>
      </c>
      <c r="O40" s="18">
        <v>746.02458503679168</v>
      </c>
      <c r="P40" s="18">
        <v>760.94507673752753</v>
      </c>
      <c r="Q40" s="18">
        <v>776.16397827227809</v>
      </c>
      <c r="R40" s="18">
        <v>791.68725783772368</v>
      </c>
      <c r="S40" s="18">
        <v>807.52100299447818</v>
      </c>
      <c r="T40" s="18">
        <v>823.67142305436778</v>
      </c>
      <c r="U40" s="18">
        <v>840.14485151545512</v>
      </c>
      <c r="V40" s="18">
        <v>856.94774854576428</v>
      </c>
      <c r="W40" s="18">
        <v>874.08670351667956</v>
      </c>
      <c r="X40" s="18">
        <v>891.56843758701314</v>
      </c>
      <c r="Y40" s="18">
        <v>909.39980633875336</v>
      </c>
      <c r="Z40" s="18">
        <v>927.5878024655284</v>
      </c>
      <c r="AA40" s="18">
        <v>946.139558514839</v>
      </c>
      <c r="AB40" s="18">
        <v>965.06234968513581</v>
      </c>
      <c r="AC40" s="18">
        <v>984.36359667883858</v>
      </c>
      <c r="AD40" s="18">
        <v>1004.0508686124153</v>
      </c>
      <c r="AE40" s="18">
        <v>1024.1318859846638</v>
      </c>
      <c r="AF40" s="18">
        <v>1044.614523704357</v>
      </c>
      <c r="AG40" s="18">
        <v>1065.5068141784441</v>
      </c>
      <c r="AH40" s="18">
        <v>1086.816950462013</v>
      </c>
      <c r="AI40" s="18">
        <v>1108.5532894712533</v>
      </c>
      <c r="AJ40" s="18">
        <v>1130.7243552606783</v>
      </c>
      <c r="AK40" s="18">
        <v>1153.3388423658919</v>
      </c>
      <c r="AL40" s="18">
        <v>1176.4056192132098</v>
      </c>
      <c r="AM40" s="18">
        <v>1199.933731597474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255</v>
      </c>
      <c r="F41" s="18">
        <v>260.10000000000002</v>
      </c>
      <c r="G41" s="18">
        <v>265.30200000000002</v>
      </c>
      <c r="H41" s="18">
        <v>270.60804000000002</v>
      </c>
      <c r="I41" s="18">
        <v>276.0202008</v>
      </c>
      <c r="J41" s="18">
        <v>281.54060481599998</v>
      </c>
      <c r="K41" s="18">
        <v>287.17141691232001</v>
      </c>
      <c r="L41" s="18">
        <v>292.91484525056643</v>
      </c>
      <c r="M41" s="18">
        <v>298.77314215557777</v>
      </c>
      <c r="N41" s="18">
        <v>304.74860499868936</v>
      </c>
      <c r="O41" s="18">
        <v>310.84357709866316</v>
      </c>
      <c r="P41" s="18">
        <v>317.06044864063642</v>
      </c>
      <c r="Q41" s="18">
        <v>323.40165761344917</v>
      </c>
      <c r="R41" s="18">
        <v>329.86969076571819</v>
      </c>
      <c r="S41" s="18">
        <v>336.46708458103257</v>
      </c>
      <c r="T41" s="18">
        <v>343.19642627265324</v>
      </c>
      <c r="U41" s="18">
        <v>350.06035479810629</v>
      </c>
      <c r="V41" s="18">
        <v>357.0615618940684</v>
      </c>
      <c r="W41" s="18">
        <v>364.20279313194976</v>
      </c>
      <c r="X41" s="18">
        <v>371.48684899458874</v>
      </c>
      <c r="Y41" s="18">
        <v>378.91658597448054</v>
      </c>
      <c r="Z41" s="18">
        <v>386.49491769397014</v>
      </c>
      <c r="AA41" s="18">
        <v>394.22481604784957</v>
      </c>
      <c r="AB41" s="18">
        <v>402.10931236880657</v>
      </c>
      <c r="AC41" s="18">
        <v>410.15149861618272</v>
      </c>
      <c r="AD41" s="18">
        <v>418.35452858850635</v>
      </c>
      <c r="AE41" s="18">
        <v>426.72161916027648</v>
      </c>
      <c r="AF41" s="18">
        <v>435.25605154348199</v>
      </c>
      <c r="AG41" s="18">
        <v>443.96117257435162</v>
      </c>
      <c r="AH41" s="18">
        <v>452.84039602583869</v>
      </c>
      <c r="AI41" s="18">
        <v>461.89720394635549</v>
      </c>
      <c r="AJ41" s="18">
        <v>471.1351480252826</v>
      </c>
      <c r="AK41" s="18">
        <v>480.55785098578826</v>
      </c>
      <c r="AL41" s="18">
        <v>490.16900800550405</v>
      </c>
      <c r="AM41" s="18">
        <v>499.97238816561412</v>
      </c>
    </row>
    <row r="42" spans="2:39" s="32" customFormat="1" ht="21" customHeight="1" x14ac:dyDescent="0.3">
      <c r="B42" s="28" t="s">
        <v>40</v>
      </c>
      <c r="C42" s="29"/>
      <c r="D42" s="31">
        <f t="shared" ref="D42" si="56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7">SUM(D41, D40, D39, D38, D37, D35, D34, D33, D32, D31, D30, D28, D27, D26, D25, D24, D22, D21, D20, D19, D18, D17, D16, D15, D14 + D13)</f>
        <v>33775.375</v>
      </c>
      <c r="E43" s="19">
        <f t="shared" ref="E43:AL43" si="58">SUM(E41, E40, E39, E38, E37, E35, E34, E33, E32, E31, E30, E28, E27, E26, E25, E24, E22, E21, E20, E19, E18, E17, E16, E15, E14 + E13)</f>
        <v>32085.03</v>
      </c>
      <c r="F43" s="19">
        <f t="shared" si="58"/>
        <v>31601.244000000002</v>
      </c>
      <c r="G43" s="19">
        <f t="shared" si="58"/>
        <v>32741.106816</v>
      </c>
      <c r="H43" s="19">
        <f t="shared" si="58"/>
        <v>33926.474405759996</v>
      </c>
      <c r="I43" s="19">
        <f t="shared" si="58"/>
        <v>34639.71742865281</v>
      </c>
      <c r="J43" s="19">
        <f t="shared" si="58"/>
        <v>33599.664455370563</v>
      </c>
      <c r="K43" s="19">
        <f t="shared" si="58"/>
        <v>33023.822625425979</v>
      </c>
      <c r="L43" s="19">
        <f t="shared" si="58"/>
        <v>32755.08573429241</v>
      </c>
      <c r="M43" s="19">
        <f t="shared" si="58"/>
        <v>33949.945588458577</v>
      </c>
      <c r="N43" s="19">
        <f t="shared" si="58"/>
        <v>34273.747569953732</v>
      </c>
      <c r="O43" s="19">
        <f t="shared" si="58"/>
        <v>34647.725524661844</v>
      </c>
      <c r="P43" s="19">
        <f t="shared" si="58"/>
        <v>35491.705822646516</v>
      </c>
      <c r="Q43" s="19">
        <f t="shared" si="58"/>
        <v>34916.772171325909</v>
      </c>
      <c r="R43" s="19">
        <f t="shared" si="58"/>
        <v>34670.483856801467</v>
      </c>
      <c r="S43" s="19">
        <f t="shared" si="58"/>
        <v>35055.378595302958</v>
      </c>
      <c r="T43" s="19">
        <f t="shared" si="58"/>
        <v>36315.778124781464</v>
      </c>
      <c r="U43" s="19">
        <f t="shared" si="58"/>
        <v>35925.906588664329</v>
      </c>
      <c r="V43" s="19">
        <f t="shared" si="58"/>
        <v>36088.635312235456</v>
      </c>
      <c r="W43" s="19">
        <f t="shared" si="58"/>
        <v>35235.860423596809</v>
      </c>
      <c r="X43" s="19">
        <f t="shared" si="58"/>
        <v>35172.525263631243</v>
      </c>
      <c r="Y43" s="19">
        <f t="shared" si="58"/>
        <v>35653.797496530125</v>
      </c>
      <c r="Z43" s="19">
        <f t="shared" si="58"/>
        <v>36691.02799311898</v>
      </c>
      <c r="AA43" s="19">
        <f t="shared" si="58"/>
        <v>37230.472291412087</v>
      </c>
      <c r="AB43" s="19">
        <f t="shared" si="58"/>
        <v>35410.717079076458</v>
      </c>
      <c r="AC43" s="19">
        <f t="shared" si="58"/>
        <v>36282.502897640159</v>
      </c>
      <c r="AD43" s="19">
        <f t="shared" si="58"/>
        <v>36845.588603601842</v>
      </c>
      <c r="AE43" s="19">
        <f t="shared" si="58"/>
        <v>35861.10811018094</v>
      </c>
      <c r="AF43" s="19">
        <f t="shared" si="58"/>
        <v>36809.557436145187</v>
      </c>
      <c r="AG43" s="19">
        <f t="shared" si="58"/>
        <v>38113.63509539816</v>
      </c>
      <c r="AH43" s="19">
        <f t="shared" si="58"/>
        <v>38368.331669464133</v>
      </c>
      <c r="AI43" s="19">
        <f t="shared" si="58"/>
        <v>38720.235395272284</v>
      </c>
      <c r="AJ43" s="19">
        <f t="shared" si="58"/>
        <v>39739.763035595657</v>
      </c>
      <c r="AK43" s="19">
        <f t="shared" si="58"/>
        <v>40257.402017185275</v>
      </c>
      <c r="AL43" s="19">
        <f t="shared" si="58"/>
        <v>41703.235694742689</v>
      </c>
      <c r="AM43" s="19">
        <f t="shared" si="57"/>
        <v>42168.466129245528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9">D12-D43</f>
        <v>60174.625</v>
      </c>
      <c r="E44" s="23">
        <f t="shared" ref="E44:AL44" si="60">E12-E43</f>
        <v>64672.97</v>
      </c>
      <c r="F44" s="23">
        <f t="shared" si="60"/>
        <v>61199.076000000001</v>
      </c>
      <c r="G44" s="23">
        <f t="shared" si="60"/>
        <v>62831.865984000004</v>
      </c>
      <c r="H44" s="23">
        <f t="shared" si="60"/>
        <v>64501.876506240013</v>
      </c>
      <c r="I44" s="23">
        <f t="shared" si="60"/>
        <v>66729.200495827186</v>
      </c>
      <c r="J44" s="23">
        <f t="shared" si="60"/>
        <v>70797.546151368646</v>
      </c>
      <c r="K44" s="23">
        <f t="shared" si="60"/>
        <v>67091.212759489994</v>
      </c>
      <c r="L44" s="23">
        <f t="shared" si="60"/>
        <v>70349.583428489059</v>
      </c>
      <c r="M44" s="23">
        <f t="shared" si="60"/>
        <v>72233.493674177094</v>
      </c>
      <c r="N44" s="23">
        <f t="shared" si="60"/>
        <v>75080.250096530595</v>
      </c>
      <c r="O44" s="23">
        <f t="shared" si="60"/>
        <v>70207.771715229959</v>
      </c>
      <c r="P44" s="23">
        <f t="shared" si="60"/>
        <v>72493.292066850729</v>
      </c>
      <c r="Q44" s="23">
        <f t="shared" si="60"/>
        <v>76290.964816561303</v>
      </c>
      <c r="R44" s="23">
        <f t="shared" si="60"/>
        <v>79856.001968895594</v>
      </c>
      <c r="S44" s="23">
        <f t="shared" si="60"/>
        <v>74744.586975767568</v>
      </c>
      <c r="T44" s="23">
        <f t="shared" si="60"/>
        <v>76759.276506613358</v>
      </c>
      <c r="U44" s="23">
        <f t="shared" si="60"/>
        <v>80521.733378592209</v>
      </c>
      <c r="V44" s="23">
        <f t="shared" si="60"/>
        <v>83831.980898835434</v>
      </c>
      <c r="W44" s="23">
        <f t="shared" si="60"/>
        <v>88261.103200394748</v>
      </c>
      <c r="X44" s="23">
        <f t="shared" si="60"/>
        <v>92007.225352732145</v>
      </c>
      <c r="Y44" s="23">
        <f t="shared" si="60"/>
        <v>95318.338845322316</v>
      </c>
      <c r="Z44" s="23">
        <f t="shared" si="60"/>
        <v>98186.345374267112</v>
      </c>
      <c r="AA44" s="23">
        <f t="shared" si="60"/>
        <v>92052.732962792157</v>
      </c>
      <c r="AB44" s="23">
        <f t="shared" si="60"/>
        <v>97725.104819550674</v>
      </c>
      <c r="AC44" s="23">
        <f t="shared" si="60"/>
        <v>100820.47896421442</v>
      </c>
      <c r="AD44" s="23">
        <f t="shared" si="60"/>
        <v>104342.49143262778</v>
      </c>
      <c r="AE44" s="23">
        <f t="shared" si="60"/>
        <v>99446.561262680741</v>
      </c>
      <c r="AF44" s="23">
        <f t="shared" si="60"/>
        <v>102527.0666478529</v>
      </c>
      <c r="AG44" s="23">
        <f t="shared" si="60"/>
        <v>105371.60132626847</v>
      </c>
      <c r="AH44" s="23">
        <f t="shared" si="60"/>
        <v>99115.528573372081</v>
      </c>
      <c r="AI44" s="23">
        <f t="shared" si="60"/>
        <v>102854.08498099371</v>
      </c>
      <c r="AJ44" s="23">
        <f t="shared" si="60"/>
        <v>106046.36905114882</v>
      </c>
      <c r="AK44" s="23">
        <f t="shared" si="60"/>
        <v>109865.47941531967</v>
      </c>
      <c r="AL44" s="23">
        <f t="shared" si="60"/>
        <v>102108.26646833761</v>
      </c>
      <c r="AM44" s="23">
        <f t="shared" si="59"/>
        <v>105917.54077715101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1">SUM(D46 + D45)</f>
        <v>0</v>
      </c>
      <c r="E47" s="19">
        <f t="shared" si="61"/>
        <v>0</v>
      </c>
      <c r="F47" s="19">
        <f t="shared" si="61"/>
        <v>0</v>
      </c>
      <c r="G47" s="19">
        <f t="shared" si="61"/>
        <v>0</v>
      </c>
      <c r="H47" s="19">
        <f t="shared" si="61"/>
        <v>0</v>
      </c>
      <c r="I47" s="19">
        <f t="shared" si="61"/>
        <v>0</v>
      </c>
      <c r="J47" s="19">
        <f t="shared" si="61"/>
        <v>0</v>
      </c>
      <c r="K47" s="19">
        <f t="shared" si="61"/>
        <v>0</v>
      </c>
      <c r="L47" s="19">
        <f t="shared" si="61"/>
        <v>0</v>
      </c>
      <c r="M47" s="19">
        <f t="shared" si="61"/>
        <v>0</v>
      </c>
      <c r="N47" s="19">
        <f t="shared" si="61"/>
        <v>0</v>
      </c>
      <c r="O47" s="19">
        <f t="shared" si="61"/>
        <v>0</v>
      </c>
      <c r="P47" s="19">
        <f t="shared" si="61"/>
        <v>0</v>
      </c>
      <c r="Q47" s="19">
        <f t="shared" si="61"/>
        <v>0</v>
      </c>
      <c r="R47" s="19">
        <f t="shared" si="61"/>
        <v>0</v>
      </c>
      <c r="S47" s="19">
        <f t="shared" si="61"/>
        <v>0</v>
      </c>
      <c r="T47" s="19">
        <f t="shared" si="61"/>
        <v>0</v>
      </c>
      <c r="U47" s="19">
        <f t="shared" si="61"/>
        <v>0</v>
      </c>
      <c r="V47" s="19">
        <f t="shared" si="61"/>
        <v>0</v>
      </c>
      <c r="W47" s="19">
        <f t="shared" si="61"/>
        <v>0</v>
      </c>
      <c r="X47" s="19">
        <f t="shared" si="61"/>
        <v>0</v>
      </c>
      <c r="Y47" s="19">
        <f t="shared" si="61"/>
        <v>0</v>
      </c>
      <c r="Z47" s="19">
        <f t="shared" si="61"/>
        <v>0</v>
      </c>
      <c r="AA47" s="19">
        <f t="shared" si="61"/>
        <v>0</v>
      </c>
      <c r="AB47" s="19">
        <f t="shared" si="61"/>
        <v>0</v>
      </c>
      <c r="AC47" s="19">
        <f t="shared" si="61"/>
        <v>0</v>
      </c>
      <c r="AD47" s="19">
        <f t="shared" si="61"/>
        <v>0</v>
      </c>
      <c r="AE47" s="19">
        <f t="shared" si="61"/>
        <v>0</v>
      </c>
      <c r="AF47" s="19">
        <f t="shared" si="61"/>
        <v>0</v>
      </c>
      <c r="AG47" s="19">
        <f t="shared" si="61"/>
        <v>0</v>
      </c>
      <c r="AH47" s="19">
        <f t="shared" si="61"/>
        <v>0</v>
      </c>
      <c r="AI47" s="19">
        <f t="shared" si="61"/>
        <v>0</v>
      </c>
      <c r="AJ47" s="19">
        <f t="shared" si="61"/>
        <v>0</v>
      </c>
      <c r="AK47" s="19">
        <f t="shared" si="61"/>
        <v>0</v>
      </c>
      <c r="AL47" s="19">
        <f t="shared" si="61"/>
        <v>0</v>
      </c>
      <c r="AM47" s="19">
        <f t="shared" ref="AM47" si="62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69.444444444444443</v>
      </c>
      <c r="E49" s="18">
        <v>72.222222222222229</v>
      </c>
      <c r="F49" s="18">
        <v>75.111111111111114</v>
      </c>
      <c r="G49" s="18">
        <v>78.115555555555559</v>
      </c>
      <c r="H49" s="18">
        <v>81.240177777777788</v>
      </c>
      <c r="I49" s="18">
        <v>84.489784888888906</v>
      </c>
      <c r="J49" s="18">
        <v>87.869376284444471</v>
      </c>
      <c r="K49" s="18">
        <v>91.384151335822253</v>
      </c>
      <c r="L49" s="18">
        <v>95.039517389255153</v>
      </c>
      <c r="M49" s="18">
        <v>98.841098084825362</v>
      </c>
      <c r="N49" s="18">
        <v>102.79474200821838</v>
      </c>
      <c r="O49" s="18">
        <v>106.90653168854712</v>
      </c>
      <c r="P49" s="18">
        <v>111.182792956089</v>
      </c>
      <c r="Q49" s="18">
        <v>115.63010467433257</v>
      </c>
      <c r="R49" s="18">
        <v>120.25530886130588</v>
      </c>
      <c r="S49" s="18">
        <v>125.06552121575811</v>
      </c>
      <c r="T49" s="18">
        <v>130.06814206438844</v>
      </c>
      <c r="U49" s="18">
        <v>135.27086774696397</v>
      </c>
      <c r="V49" s="18">
        <v>140.68170245684254</v>
      </c>
      <c r="W49" s="18">
        <v>146.30897055511625</v>
      </c>
      <c r="X49" s="18">
        <v>152.1613293773209</v>
      </c>
      <c r="Y49" s="18">
        <v>158.24778255241372</v>
      </c>
      <c r="Z49" s="18">
        <v>164.57769385451027</v>
      </c>
      <c r="AA49" s="18">
        <v>171.16080160869069</v>
      </c>
      <c r="AB49" s="18">
        <v>178.00723367303831</v>
      </c>
      <c r="AC49" s="18">
        <v>185.12752301995985</v>
      </c>
      <c r="AD49" s="18">
        <v>192.53262394075824</v>
      </c>
      <c r="AE49" s="18">
        <v>200.23392889838857</v>
      </c>
      <c r="AF49" s="18">
        <v>208.24328605432413</v>
      </c>
      <c r="AG49" s="18">
        <v>216.5730174964971</v>
      </c>
      <c r="AH49" s="18">
        <v>225.23593819635698</v>
      </c>
      <c r="AI49" s="18">
        <v>234.24537572421127</v>
      </c>
      <c r="AJ49" s="18">
        <v>243.61519075317972</v>
      </c>
      <c r="AK49" s="18">
        <v>253.35979838330692</v>
      </c>
      <c r="AL49" s="18">
        <v>263.4941903186392</v>
      </c>
      <c r="AM49" s="18">
        <v>274.03395793138475</v>
      </c>
    </row>
    <row r="50" spans="2:39" s="17" customFormat="1" ht="21" customHeight="1" x14ac:dyDescent="0.3">
      <c r="B50" s="4" t="s">
        <v>48</v>
      </c>
      <c r="C50" s="15"/>
      <c r="D50" s="18">
        <v>2500</v>
      </c>
      <c r="E50" s="18">
        <v>2600</v>
      </c>
      <c r="F50" s="18">
        <v>2704</v>
      </c>
      <c r="G50" s="18">
        <v>2812.1600000000003</v>
      </c>
      <c r="H50" s="18">
        <v>2924.6464000000005</v>
      </c>
      <c r="I50" s="18">
        <v>3041.6322560000008</v>
      </c>
      <c r="J50" s="18">
        <v>3163.2975462400009</v>
      </c>
      <c r="K50" s="18">
        <v>3289.8294480896011</v>
      </c>
      <c r="L50" s="18">
        <v>3421.4226260131854</v>
      </c>
      <c r="M50" s="18">
        <v>3558.2795310537131</v>
      </c>
      <c r="N50" s="18">
        <v>3700.6107122958615</v>
      </c>
      <c r="O50" s="18">
        <v>3848.6351407876959</v>
      </c>
      <c r="P50" s="18">
        <v>4002.580546419204</v>
      </c>
      <c r="Q50" s="18">
        <v>4162.6837682759724</v>
      </c>
      <c r="R50" s="18">
        <v>4329.1911190070114</v>
      </c>
      <c r="S50" s="18">
        <v>4502.3587637672917</v>
      </c>
      <c r="T50" s="18">
        <v>4682.4531143179838</v>
      </c>
      <c r="U50" s="18">
        <v>4869.7512388907035</v>
      </c>
      <c r="V50" s="18">
        <v>5064.5412884463321</v>
      </c>
      <c r="W50" s="18">
        <v>5267.1229399841859</v>
      </c>
      <c r="X50" s="18">
        <v>5477.8078575835534</v>
      </c>
      <c r="Y50" s="18">
        <v>5696.9201718868953</v>
      </c>
      <c r="Z50" s="18">
        <v>5924.7969787623715</v>
      </c>
      <c r="AA50" s="18">
        <v>6161.7888579128667</v>
      </c>
      <c r="AB50" s="18">
        <v>6408.2604122293815</v>
      </c>
      <c r="AC50" s="18">
        <v>6664.5908287185566</v>
      </c>
      <c r="AD50" s="18">
        <v>6931.1744618672992</v>
      </c>
      <c r="AE50" s="18">
        <v>7208.421440341991</v>
      </c>
      <c r="AF50" s="18">
        <v>7496.758297955671</v>
      </c>
      <c r="AG50" s="18">
        <v>7796.6286298738978</v>
      </c>
      <c r="AH50" s="18">
        <v>8108.4937750688541</v>
      </c>
      <c r="AI50" s="18">
        <v>8432.8335260716085</v>
      </c>
      <c r="AJ50" s="18">
        <v>8770.1468671144739</v>
      </c>
      <c r="AK50" s="18">
        <v>9120.9527417990539</v>
      </c>
      <c r="AL50" s="18">
        <v>9485.7908514710161</v>
      </c>
      <c r="AM50" s="18">
        <v>9865.2224855298573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3">SUM(D50, D49 + D48)</f>
        <v>2569.4444444444443</v>
      </c>
      <c r="E51" s="19">
        <f t="shared" ref="E51:AL51" si="64">SUM(E50, E49 + E48)</f>
        <v>2672.2222222222222</v>
      </c>
      <c r="F51" s="19">
        <f t="shared" si="64"/>
        <v>2779.1111111111113</v>
      </c>
      <c r="G51" s="19">
        <f t="shared" si="64"/>
        <v>2890.2755555555559</v>
      </c>
      <c r="H51" s="19">
        <f t="shared" si="64"/>
        <v>3005.8865777777783</v>
      </c>
      <c r="I51" s="19">
        <f t="shared" si="64"/>
        <v>3126.1220408888898</v>
      </c>
      <c r="J51" s="19">
        <f t="shared" si="64"/>
        <v>3251.1669225244455</v>
      </c>
      <c r="K51" s="19">
        <f t="shared" si="64"/>
        <v>3381.2135994254231</v>
      </c>
      <c r="L51" s="19">
        <f t="shared" si="64"/>
        <v>3516.4621434024407</v>
      </c>
      <c r="M51" s="19">
        <f t="shared" si="64"/>
        <v>3657.1206291385383</v>
      </c>
      <c r="N51" s="19">
        <f t="shared" si="64"/>
        <v>3803.4054543040797</v>
      </c>
      <c r="O51" s="19">
        <f t="shared" si="64"/>
        <v>3955.5416724762431</v>
      </c>
      <c r="P51" s="19">
        <f t="shared" si="64"/>
        <v>4113.7633393752931</v>
      </c>
      <c r="Q51" s="19">
        <f t="shared" si="64"/>
        <v>4278.3138729503053</v>
      </c>
      <c r="R51" s="19">
        <f t="shared" si="64"/>
        <v>4449.4464278683172</v>
      </c>
      <c r="S51" s="19">
        <f t="shared" si="64"/>
        <v>4627.4242849830498</v>
      </c>
      <c r="T51" s="19">
        <f t="shared" si="64"/>
        <v>4812.5212563823725</v>
      </c>
      <c r="U51" s="19">
        <f t="shared" si="64"/>
        <v>5005.0221066376671</v>
      </c>
      <c r="V51" s="19">
        <f t="shared" si="64"/>
        <v>5205.2229909031748</v>
      </c>
      <c r="W51" s="19">
        <f t="shared" si="64"/>
        <v>5413.4319105393024</v>
      </c>
      <c r="X51" s="19">
        <f t="shared" si="64"/>
        <v>5629.9691869608741</v>
      </c>
      <c r="Y51" s="19">
        <f t="shared" si="64"/>
        <v>5855.1679544393091</v>
      </c>
      <c r="Z51" s="19">
        <f t="shared" si="64"/>
        <v>6089.374672616882</v>
      </c>
      <c r="AA51" s="19">
        <f t="shared" si="64"/>
        <v>6332.9496595215569</v>
      </c>
      <c r="AB51" s="19">
        <f t="shared" si="64"/>
        <v>6586.2676459024196</v>
      </c>
      <c r="AC51" s="19">
        <f t="shared" si="64"/>
        <v>6849.7183517385165</v>
      </c>
      <c r="AD51" s="19">
        <f t="shared" si="64"/>
        <v>7123.7070858080579</v>
      </c>
      <c r="AE51" s="19">
        <f t="shared" si="64"/>
        <v>7408.6553692403795</v>
      </c>
      <c r="AF51" s="19">
        <f t="shared" si="64"/>
        <v>7705.001584009995</v>
      </c>
      <c r="AG51" s="19">
        <f t="shared" si="64"/>
        <v>8013.2016473703952</v>
      </c>
      <c r="AH51" s="19">
        <f t="shared" si="64"/>
        <v>8333.7297132652111</v>
      </c>
      <c r="AI51" s="19">
        <f t="shared" si="64"/>
        <v>8667.0789017958195</v>
      </c>
      <c r="AJ51" s="19">
        <f t="shared" si="64"/>
        <v>9013.7620578676542</v>
      </c>
      <c r="AK51" s="19">
        <f t="shared" si="64"/>
        <v>9374.31254018236</v>
      </c>
      <c r="AL51" s="19">
        <f t="shared" si="64"/>
        <v>9749.2850417896552</v>
      </c>
      <c r="AM51" s="19">
        <f t="shared" si="63"/>
        <v>10139.256443461241</v>
      </c>
    </row>
    <row r="52" spans="2:39" s="21" customFormat="1" ht="21" customHeight="1" x14ac:dyDescent="0.3">
      <c r="B52" s="5" t="s">
        <v>50</v>
      </c>
      <c r="C52" s="22"/>
      <c r="D52" s="23">
        <f t="shared" ref="D52:AM52" si="65">D47-D51</f>
        <v>-2569.4444444444443</v>
      </c>
      <c r="E52" s="23">
        <f t="shared" ref="E52:AL52" si="66">E47-E51</f>
        <v>-2672.2222222222222</v>
      </c>
      <c r="F52" s="23">
        <f t="shared" si="66"/>
        <v>-2779.1111111111113</v>
      </c>
      <c r="G52" s="23">
        <f t="shared" si="66"/>
        <v>-2890.2755555555559</v>
      </c>
      <c r="H52" s="23">
        <f t="shared" si="66"/>
        <v>-3005.8865777777783</v>
      </c>
      <c r="I52" s="23">
        <f t="shared" si="66"/>
        <v>-3126.1220408888898</v>
      </c>
      <c r="J52" s="23">
        <f t="shared" si="66"/>
        <v>-3251.1669225244455</v>
      </c>
      <c r="K52" s="23">
        <f t="shared" si="66"/>
        <v>-3381.2135994254231</v>
      </c>
      <c r="L52" s="23">
        <f t="shared" si="66"/>
        <v>-3516.4621434024407</v>
      </c>
      <c r="M52" s="23">
        <f t="shared" si="66"/>
        <v>-3657.1206291385383</v>
      </c>
      <c r="N52" s="23">
        <f t="shared" si="66"/>
        <v>-3803.4054543040797</v>
      </c>
      <c r="O52" s="23">
        <f t="shared" si="66"/>
        <v>-3955.5416724762431</v>
      </c>
      <c r="P52" s="23">
        <f t="shared" si="66"/>
        <v>-4113.7633393752931</v>
      </c>
      <c r="Q52" s="23">
        <f t="shared" si="66"/>
        <v>-4278.3138729503053</v>
      </c>
      <c r="R52" s="23">
        <f t="shared" si="66"/>
        <v>-4449.4464278683172</v>
      </c>
      <c r="S52" s="23">
        <f t="shared" si="66"/>
        <v>-4627.4242849830498</v>
      </c>
      <c r="T52" s="23">
        <f t="shared" si="66"/>
        <v>-4812.5212563823725</v>
      </c>
      <c r="U52" s="23">
        <f t="shared" si="66"/>
        <v>-5005.0221066376671</v>
      </c>
      <c r="V52" s="23">
        <f t="shared" si="66"/>
        <v>-5205.2229909031748</v>
      </c>
      <c r="W52" s="23">
        <f t="shared" si="66"/>
        <v>-5413.4319105393024</v>
      </c>
      <c r="X52" s="23">
        <f t="shared" si="66"/>
        <v>-5629.9691869608741</v>
      </c>
      <c r="Y52" s="23">
        <f t="shared" si="66"/>
        <v>-5855.1679544393091</v>
      </c>
      <c r="Z52" s="23">
        <f t="shared" si="66"/>
        <v>-6089.374672616882</v>
      </c>
      <c r="AA52" s="23">
        <f t="shared" si="66"/>
        <v>-6332.9496595215569</v>
      </c>
      <c r="AB52" s="23">
        <f t="shared" si="66"/>
        <v>-6586.2676459024196</v>
      </c>
      <c r="AC52" s="23">
        <f t="shared" si="66"/>
        <v>-6849.7183517385165</v>
      </c>
      <c r="AD52" s="23">
        <f t="shared" si="66"/>
        <v>-7123.7070858080579</v>
      </c>
      <c r="AE52" s="23">
        <f t="shared" si="66"/>
        <v>-7408.6553692403795</v>
      </c>
      <c r="AF52" s="23">
        <f t="shared" si="66"/>
        <v>-7705.001584009995</v>
      </c>
      <c r="AG52" s="23">
        <f t="shared" si="66"/>
        <v>-8013.2016473703952</v>
      </c>
      <c r="AH52" s="23">
        <f t="shared" si="66"/>
        <v>-8333.7297132652111</v>
      </c>
      <c r="AI52" s="23">
        <f t="shared" si="66"/>
        <v>-8667.0789017958195</v>
      </c>
      <c r="AJ52" s="23">
        <f t="shared" si="66"/>
        <v>-9013.7620578676542</v>
      </c>
      <c r="AK52" s="23">
        <f t="shared" si="66"/>
        <v>-9374.31254018236</v>
      </c>
      <c r="AL52" s="23">
        <f t="shared" si="66"/>
        <v>-9749.2850417896552</v>
      </c>
      <c r="AM52" s="23">
        <f t="shared" si="65"/>
        <v>-10139.256443461241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7">D44+D52</f>
        <v>57605.180555555555</v>
      </c>
      <c r="E53" s="23">
        <f t="shared" ref="E53:AL53" si="68">E44+E52</f>
        <v>62000.747777777782</v>
      </c>
      <c r="F53" s="23">
        <f t="shared" si="68"/>
        <v>58419.964888888891</v>
      </c>
      <c r="G53" s="23">
        <f t="shared" si="68"/>
        <v>59941.590428444448</v>
      </c>
      <c r="H53" s="23">
        <f t="shared" si="68"/>
        <v>61495.989928462237</v>
      </c>
      <c r="I53" s="23">
        <f t="shared" si="68"/>
        <v>63603.078454938295</v>
      </c>
      <c r="J53" s="23">
        <f t="shared" si="68"/>
        <v>67546.379228844205</v>
      </c>
      <c r="K53" s="23">
        <f t="shared" si="68"/>
        <v>63709.999160064574</v>
      </c>
      <c r="L53" s="23">
        <f t="shared" si="68"/>
        <v>66833.121285086614</v>
      </c>
      <c r="M53" s="23">
        <f t="shared" si="68"/>
        <v>68576.373045038563</v>
      </c>
      <c r="N53" s="23">
        <f t="shared" si="68"/>
        <v>71276.844642226511</v>
      </c>
      <c r="O53" s="23">
        <f t="shared" si="68"/>
        <v>66252.230042753712</v>
      </c>
      <c r="P53" s="23">
        <f t="shared" si="68"/>
        <v>68379.528727475437</v>
      </c>
      <c r="Q53" s="23">
        <f t="shared" si="68"/>
        <v>72012.650943610992</v>
      </c>
      <c r="R53" s="23">
        <f t="shared" si="68"/>
        <v>75406.555541027279</v>
      </c>
      <c r="S53" s="23">
        <f t="shared" si="68"/>
        <v>70117.16269078452</v>
      </c>
      <c r="T53" s="23">
        <f t="shared" si="68"/>
        <v>71946.755250230985</v>
      </c>
      <c r="U53" s="23">
        <f t="shared" si="68"/>
        <v>75516.71127195454</v>
      </c>
      <c r="V53" s="23">
        <f t="shared" si="68"/>
        <v>78626.75790793226</v>
      </c>
      <c r="W53" s="23">
        <f t="shared" si="68"/>
        <v>82847.67128985544</v>
      </c>
      <c r="X53" s="23">
        <f t="shared" si="68"/>
        <v>86377.256165771265</v>
      </c>
      <c r="Y53" s="23">
        <f t="shared" si="68"/>
        <v>89463.170890883004</v>
      </c>
      <c r="Z53" s="23">
        <f t="shared" si="68"/>
        <v>92096.970701650236</v>
      </c>
      <c r="AA53" s="23">
        <f t="shared" si="68"/>
        <v>85719.783303270597</v>
      </c>
      <c r="AB53" s="23">
        <f t="shared" si="68"/>
        <v>91138.837173648251</v>
      </c>
      <c r="AC53" s="23">
        <f t="shared" si="68"/>
        <v>93970.760612475904</v>
      </c>
      <c r="AD53" s="23">
        <f t="shared" si="68"/>
        <v>97218.784346819724</v>
      </c>
      <c r="AE53" s="23">
        <f t="shared" si="68"/>
        <v>92037.905893440358</v>
      </c>
      <c r="AF53" s="23">
        <f t="shared" si="68"/>
        <v>94822.065063842907</v>
      </c>
      <c r="AG53" s="23">
        <f t="shared" si="68"/>
        <v>97358.399678898073</v>
      </c>
      <c r="AH53" s="23">
        <f t="shared" si="68"/>
        <v>90781.798860106865</v>
      </c>
      <c r="AI53" s="23">
        <f t="shared" si="68"/>
        <v>94187.00607919789</v>
      </c>
      <c r="AJ53" s="23">
        <f t="shared" si="68"/>
        <v>97032.606993281166</v>
      </c>
      <c r="AK53" s="23">
        <f t="shared" si="68"/>
        <v>100491.16687513731</v>
      </c>
      <c r="AL53" s="23">
        <f t="shared" si="68"/>
        <v>92358.981426547951</v>
      </c>
      <c r="AM53" s="23">
        <f t="shared" si="67"/>
        <v>95778.284333689764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5FCBE19-152E-49E7-8850-DF6BAC15EC82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708E-FABF-4719-9959-4E3369DCCC9E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54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800</v>
      </c>
      <c r="E9" s="18">
        <v>832</v>
      </c>
      <c r="F9" s="18">
        <v>865.28</v>
      </c>
      <c r="G9" s="18">
        <v>899.89120000000003</v>
      </c>
      <c r="H9" s="18">
        <v>935.8868480000001</v>
      </c>
      <c r="I9" s="18">
        <v>973.32232192000015</v>
      </c>
      <c r="J9" s="18">
        <v>1012.2552147968001</v>
      </c>
      <c r="K9" s="18">
        <v>1052.7454233886722</v>
      </c>
      <c r="L9" s="18">
        <v>1094.855240324219</v>
      </c>
      <c r="M9" s="18">
        <v>1138.6494499371879</v>
      </c>
      <c r="N9" s="18">
        <v>1184.1954279346755</v>
      </c>
      <c r="O9" s="18">
        <v>1231.5632450520627</v>
      </c>
      <c r="P9" s="18">
        <v>1280.8257748541453</v>
      </c>
      <c r="Q9" s="18">
        <v>1332.0588058483111</v>
      </c>
      <c r="R9" s="18">
        <v>1385.3411580822435</v>
      </c>
      <c r="S9" s="18">
        <v>1440.7548044055334</v>
      </c>
      <c r="T9" s="18">
        <v>1498.3849965817549</v>
      </c>
      <c r="U9" s="18">
        <v>1558.3203964450252</v>
      </c>
      <c r="V9" s="18">
        <v>1620.6532123028262</v>
      </c>
      <c r="W9" s="18">
        <v>1685.4793407949394</v>
      </c>
      <c r="X9" s="18">
        <v>1752.8985144267369</v>
      </c>
      <c r="Y9" s="18">
        <v>1823.0144550038065</v>
      </c>
      <c r="Z9" s="18">
        <v>1895.9350332039587</v>
      </c>
      <c r="AA9" s="18">
        <v>1971.7724345321171</v>
      </c>
      <c r="AB9" s="18">
        <v>2050.6433319134021</v>
      </c>
      <c r="AC9" s="18">
        <v>2132.6690651899385</v>
      </c>
      <c r="AD9" s="18">
        <v>2217.9758277975361</v>
      </c>
      <c r="AE9" s="18">
        <v>2306.6948609094375</v>
      </c>
      <c r="AF9" s="18">
        <v>2398.9626553458152</v>
      </c>
      <c r="AG9" s="18">
        <v>2494.9211615596478</v>
      </c>
      <c r="AH9" s="18">
        <v>2594.7180080220337</v>
      </c>
      <c r="AI9" s="18">
        <v>2698.5067283429153</v>
      </c>
      <c r="AJ9" s="18">
        <v>2806.4469974766321</v>
      </c>
      <c r="AK9" s="18">
        <v>2918.7048773756974</v>
      </c>
      <c r="AL9" s="18">
        <v>3035.4530724707256</v>
      </c>
      <c r="AM9" s="18">
        <v>3156.8711953695547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800</v>
      </c>
      <c r="E11" s="19">
        <f t="shared" ref="E11:AL11" si="38">SUM(E10, E9 + E8)</f>
        <v>832</v>
      </c>
      <c r="F11" s="19">
        <f t="shared" si="38"/>
        <v>865.28</v>
      </c>
      <c r="G11" s="19">
        <f t="shared" si="38"/>
        <v>899.89120000000003</v>
      </c>
      <c r="H11" s="19">
        <f t="shared" si="38"/>
        <v>935.8868480000001</v>
      </c>
      <c r="I11" s="19">
        <f t="shared" si="38"/>
        <v>973.32232192000015</v>
      </c>
      <c r="J11" s="19">
        <f t="shared" si="38"/>
        <v>1012.2552147968001</v>
      </c>
      <c r="K11" s="19">
        <f t="shared" si="38"/>
        <v>1052.7454233886722</v>
      </c>
      <c r="L11" s="19">
        <f t="shared" si="38"/>
        <v>1094.855240324219</v>
      </c>
      <c r="M11" s="19">
        <f t="shared" si="38"/>
        <v>1138.6494499371879</v>
      </c>
      <c r="N11" s="19">
        <f t="shared" si="38"/>
        <v>1184.1954279346755</v>
      </c>
      <c r="O11" s="19">
        <f t="shared" si="38"/>
        <v>1231.5632450520627</v>
      </c>
      <c r="P11" s="19">
        <f t="shared" si="38"/>
        <v>1280.8257748541453</v>
      </c>
      <c r="Q11" s="19">
        <f t="shared" si="38"/>
        <v>1332.0588058483111</v>
      </c>
      <c r="R11" s="19">
        <f t="shared" si="38"/>
        <v>1385.3411580822435</v>
      </c>
      <c r="S11" s="19">
        <f t="shared" si="38"/>
        <v>1440.7548044055334</v>
      </c>
      <c r="T11" s="19">
        <f t="shared" si="38"/>
        <v>1498.3849965817549</v>
      </c>
      <c r="U11" s="19">
        <f t="shared" si="38"/>
        <v>1558.3203964450252</v>
      </c>
      <c r="V11" s="19">
        <f t="shared" si="38"/>
        <v>1620.6532123028262</v>
      </c>
      <c r="W11" s="19">
        <f t="shared" si="38"/>
        <v>1685.4793407949394</v>
      </c>
      <c r="X11" s="19">
        <f t="shared" si="38"/>
        <v>1752.8985144267369</v>
      </c>
      <c r="Y11" s="19">
        <f t="shared" si="38"/>
        <v>1823.0144550038065</v>
      </c>
      <c r="Z11" s="19">
        <f t="shared" si="38"/>
        <v>1895.9350332039587</v>
      </c>
      <c r="AA11" s="19">
        <f t="shared" si="38"/>
        <v>1971.7724345321171</v>
      </c>
      <c r="AB11" s="19">
        <f t="shared" si="38"/>
        <v>2050.6433319134021</v>
      </c>
      <c r="AC11" s="19">
        <f t="shared" si="38"/>
        <v>2132.6690651899385</v>
      </c>
      <c r="AD11" s="19">
        <f t="shared" si="38"/>
        <v>2217.9758277975361</v>
      </c>
      <c r="AE11" s="19">
        <f t="shared" si="38"/>
        <v>2306.6948609094375</v>
      </c>
      <c r="AF11" s="19">
        <f t="shared" si="38"/>
        <v>2398.9626553458152</v>
      </c>
      <c r="AG11" s="19">
        <f t="shared" si="38"/>
        <v>2494.9211615596478</v>
      </c>
      <c r="AH11" s="19">
        <f t="shared" si="38"/>
        <v>2594.7180080220337</v>
      </c>
      <c r="AI11" s="19">
        <f t="shared" si="38"/>
        <v>2698.5067283429153</v>
      </c>
      <c r="AJ11" s="19">
        <f t="shared" si="38"/>
        <v>2806.4469974766321</v>
      </c>
      <c r="AK11" s="19">
        <f t="shared" si="38"/>
        <v>2918.7048773756974</v>
      </c>
      <c r="AL11" s="19">
        <f t="shared" si="38"/>
        <v>3035.4530724707256</v>
      </c>
      <c r="AM11" s="19">
        <f t="shared" si="37"/>
        <v>3156.8711953695547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-800</v>
      </c>
      <c r="E12" s="23">
        <f t="shared" ref="E12:AL12" si="40">E7-E11</f>
        <v>-832</v>
      </c>
      <c r="F12" s="23">
        <f t="shared" si="40"/>
        <v>-865.28</v>
      </c>
      <c r="G12" s="23">
        <f t="shared" si="40"/>
        <v>-899.89120000000003</v>
      </c>
      <c r="H12" s="23">
        <f t="shared" si="40"/>
        <v>-935.8868480000001</v>
      </c>
      <c r="I12" s="23">
        <f t="shared" si="40"/>
        <v>-973.32232192000015</v>
      </c>
      <c r="J12" s="23">
        <f t="shared" si="40"/>
        <v>-1012.2552147968001</v>
      </c>
      <c r="K12" s="23">
        <f t="shared" si="40"/>
        <v>-1052.7454233886722</v>
      </c>
      <c r="L12" s="23">
        <f t="shared" si="40"/>
        <v>-1094.855240324219</v>
      </c>
      <c r="M12" s="23">
        <f t="shared" si="40"/>
        <v>-1138.6494499371879</v>
      </c>
      <c r="N12" s="23">
        <f t="shared" si="40"/>
        <v>-1184.1954279346755</v>
      </c>
      <c r="O12" s="23">
        <f t="shared" si="40"/>
        <v>-1231.5632450520627</v>
      </c>
      <c r="P12" s="23">
        <f t="shared" si="40"/>
        <v>-1280.8257748541453</v>
      </c>
      <c r="Q12" s="23">
        <f t="shared" si="40"/>
        <v>-1332.0588058483111</v>
      </c>
      <c r="R12" s="23">
        <f t="shared" si="40"/>
        <v>-1385.3411580822435</v>
      </c>
      <c r="S12" s="23">
        <f t="shared" si="40"/>
        <v>-1440.7548044055334</v>
      </c>
      <c r="T12" s="23">
        <f t="shared" si="40"/>
        <v>-1498.3849965817549</v>
      </c>
      <c r="U12" s="23">
        <f t="shared" si="40"/>
        <v>-1558.3203964450252</v>
      </c>
      <c r="V12" s="23">
        <f t="shared" si="40"/>
        <v>-1620.6532123028262</v>
      </c>
      <c r="W12" s="23">
        <f t="shared" si="40"/>
        <v>-1685.4793407949394</v>
      </c>
      <c r="X12" s="23">
        <f t="shared" si="40"/>
        <v>-1752.8985144267369</v>
      </c>
      <c r="Y12" s="23">
        <f t="shared" si="40"/>
        <v>-1823.0144550038065</v>
      </c>
      <c r="Z12" s="23">
        <f t="shared" si="40"/>
        <v>-1895.9350332039587</v>
      </c>
      <c r="AA12" s="23">
        <f t="shared" si="40"/>
        <v>-1971.7724345321171</v>
      </c>
      <c r="AB12" s="23">
        <f t="shared" si="40"/>
        <v>-2050.6433319134021</v>
      </c>
      <c r="AC12" s="23">
        <f t="shared" si="40"/>
        <v>-2132.6690651899385</v>
      </c>
      <c r="AD12" s="23">
        <f t="shared" si="40"/>
        <v>-2217.9758277975361</v>
      </c>
      <c r="AE12" s="23">
        <f t="shared" si="40"/>
        <v>-2306.6948609094375</v>
      </c>
      <c r="AF12" s="23">
        <f t="shared" si="40"/>
        <v>-2398.9626553458152</v>
      </c>
      <c r="AG12" s="23">
        <f t="shared" si="40"/>
        <v>-2494.9211615596478</v>
      </c>
      <c r="AH12" s="23">
        <f t="shared" si="40"/>
        <v>-2594.7180080220337</v>
      </c>
      <c r="AI12" s="23">
        <f t="shared" si="40"/>
        <v>-2698.5067283429153</v>
      </c>
      <c r="AJ12" s="23">
        <f t="shared" si="40"/>
        <v>-2806.4469974766321</v>
      </c>
      <c r="AK12" s="23">
        <f t="shared" si="40"/>
        <v>-2918.7048773756974</v>
      </c>
      <c r="AL12" s="23">
        <f t="shared" si="40"/>
        <v>-3035.4530724707256</v>
      </c>
      <c r="AM12" s="23">
        <f t="shared" si="39"/>
        <v>-3156.8711953695547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4000</v>
      </c>
      <c r="E16" s="18">
        <v>4160</v>
      </c>
      <c r="F16" s="18">
        <f>E16*(0.9)</f>
        <v>3744</v>
      </c>
      <c r="G16" s="18">
        <v>3893.76</v>
      </c>
      <c r="H16" s="18">
        <v>4049.5104000000006</v>
      </c>
      <c r="I16" s="18">
        <v>4211.4908160000005</v>
      </c>
      <c r="J16" s="18">
        <v>4379.950448640001</v>
      </c>
      <c r="K16" s="18">
        <v>4555.1484665856015</v>
      </c>
      <c r="L16" s="18">
        <v>4737.3544052490261</v>
      </c>
      <c r="M16" s="18">
        <f t="shared" ref="M16:N16" si="41">L16*(0.9)</f>
        <v>4263.6189647241235</v>
      </c>
      <c r="N16" s="18">
        <f t="shared" si="41"/>
        <v>3837.2570682517112</v>
      </c>
      <c r="O16" s="18">
        <v>3990.7473509817796</v>
      </c>
      <c r="P16" s="18">
        <v>4150.3772450210508</v>
      </c>
      <c r="Q16" s="18">
        <v>4316.3923348218932</v>
      </c>
      <c r="R16" s="18">
        <f>Q16*(0.9)</f>
        <v>3884.7531013397038</v>
      </c>
      <c r="S16" s="18">
        <v>4040.1432253932921</v>
      </c>
      <c r="T16" s="18">
        <v>4201.748954409024</v>
      </c>
      <c r="U16" s="18">
        <v>4369.8189125853851</v>
      </c>
      <c r="V16" s="18">
        <f t="shared" ref="V16:W16" si="42">U16*(0.9)</f>
        <v>3932.8370213268468</v>
      </c>
      <c r="W16" s="18">
        <f t="shared" si="42"/>
        <v>3539.5533191941622</v>
      </c>
      <c r="X16" s="18">
        <v>3681.135451961929</v>
      </c>
      <c r="Y16" s="18">
        <v>3828.3808700404061</v>
      </c>
      <c r="Z16" s="18">
        <v>3981.5161048420223</v>
      </c>
      <c r="AA16" s="18">
        <v>4140.7767490357037</v>
      </c>
      <c r="AB16" s="18">
        <v>4306.4078189971324</v>
      </c>
      <c r="AC16" s="18">
        <f>AB16*(0.9)</f>
        <v>3875.7670370974192</v>
      </c>
      <c r="AD16" s="18">
        <v>4030.7977185813161</v>
      </c>
      <c r="AE16" s="18">
        <v>4192.0296273245685</v>
      </c>
      <c r="AF16" s="18">
        <v>4359.7108124175511</v>
      </c>
      <c r="AG16" s="18">
        <f>AF16*(0.9)</f>
        <v>3923.7397311757959</v>
      </c>
      <c r="AH16" s="18">
        <v>4080.6893204228277</v>
      </c>
      <c r="AI16" s="18">
        <v>4243.9168932397406</v>
      </c>
      <c r="AJ16" s="18">
        <v>4413.6735689693305</v>
      </c>
      <c r="AK16" s="18">
        <v>4590.2205117281037</v>
      </c>
      <c r="AL16" s="18">
        <v>4773.8293321972278</v>
      </c>
      <c r="AM16" s="18">
        <f>AL16*(0.9)</f>
        <v>4296.4463989775049</v>
      </c>
    </row>
    <row r="17" spans="2:39" s="17" customFormat="1" ht="21" customHeight="1" x14ac:dyDescent="0.3">
      <c r="B17" s="4" t="s">
        <v>15</v>
      </c>
      <c r="C17" s="15"/>
      <c r="D17" s="18">
        <v>6000</v>
      </c>
      <c r="E17" s="18">
        <v>6180</v>
      </c>
      <c r="F17" s="18">
        <v>6365.4000000000005</v>
      </c>
      <c r="G17" s="18">
        <f>F17*(0.9)</f>
        <v>5728.8600000000006</v>
      </c>
      <c r="H17" s="18">
        <v>5900.7258000000011</v>
      </c>
      <c r="I17" s="18">
        <v>6077.7475740000009</v>
      </c>
      <c r="J17" s="18">
        <v>6260.0800012200007</v>
      </c>
      <c r="K17" s="18">
        <v>6447.882401256601</v>
      </c>
      <c r="L17" s="18">
        <v>6641.318873294299</v>
      </c>
      <c r="M17" s="18">
        <v>6840.5584394931284</v>
      </c>
      <c r="N17" s="18">
        <f>M17*(0.9)</f>
        <v>6156.5025955438159</v>
      </c>
      <c r="O17" s="18">
        <v>6341.1976734101308</v>
      </c>
      <c r="P17" s="18">
        <v>6531.433603612435</v>
      </c>
      <c r="Q17" s="18">
        <v>6727.3766117208079</v>
      </c>
      <c r="R17" s="18">
        <f>Q17*(0.9)</f>
        <v>6054.6389505487268</v>
      </c>
      <c r="S17" s="18">
        <v>6236.2781190651885</v>
      </c>
      <c r="T17" s="18">
        <v>6423.3664626371447</v>
      </c>
      <c r="U17" s="18">
        <v>6616.067456516259</v>
      </c>
      <c r="V17" s="18">
        <v>6814.5494802117473</v>
      </c>
      <c r="W17" s="18">
        <v>7018.9859646181003</v>
      </c>
      <c r="X17" s="18">
        <v>7229.5555435566439</v>
      </c>
      <c r="Y17" s="18">
        <f>X17*(0.9)</f>
        <v>6506.5999892009795</v>
      </c>
      <c r="Z17" s="18">
        <v>6701.7979888770087</v>
      </c>
      <c r="AA17" s="18">
        <v>6902.8519285433194</v>
      </c>
      <c r="AB17" s="18">
        <v>7109.937486399619</v>
      </c>
      <c r="AC17" s="18">
        <f>AB17*(0.9)</f>
        <v>6398.9437377596569</v>
      </c>
      <c r="AD17" s="18">
        <v>6590.9120498924467</v>
      </c>
      <c r="AE17" s="18">
        <v>6788.6394113892202</v>
      </c>
      <c r="AF17" s="18">
        <v>6992.2985937308968</v>
      </c>
      <c r="AG17" s="18">
        <f>AF17*(0.9)</f>
        <v>6293.0687343578074</v>
      </c>
      <c r="AH17" s="18">
        <v>6481.8607963885415</v>
      </c>
      <c r="AI17" s="18">
        <v>6676.3166202801976</v>
      </c>
      <c r="AJ17" s="18">
        <v>6876.6061188886033</v>
      </c>
      <c r="AK17" s="18">
        <v>7082.904302455262</v>
      </c>
      <c r="AL17" s="18">
        <f>AK17*(0.9)</f>
        <v>6374.6138722097357</v>
      </c>
      <c r="AM17" s="18">
        <v>6565.8522883760279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3">SUM(D22, D21, D20 + D19)</f>
        <v>0</v>
      </c>
      <c r="E23" s="19">
        <f t="shared" ref="E23:AL23" si="44">SUM(E22, E21, E20 + E19)</f>
        <v>0</v>
      </c>
      <c r="F23" s="19">
        <f t="shared" si="44"/>
        <v>0</v>
      </c>
      <c r="G23" s="19">
        <f t="shared" si="44"/>
        <v>0</v>
      </c>
      <c r="H23" s="19">
        <f t="shared" si="44"/>
        <v>0</v>
      </c>
      <c r="I23" s="19">
        <f t="shared" si="44"/>
        <v>0</v>
      </c>
      <c r="J23" s="19">
        <f t="shared" si="44"/>
        <v>0</v>
      </c>
      <c r="K23" s="19">
        <f t="shared" si="44"/>
        <v>0</v>
      </c>
      <c r="L23" s="19">
        <f t="shared" si="44"/>
        <v>0</v>
      </c>
      <c r="M23" s="19">
        <f t="shared" si="44"/>
        <v>0</v>
      </c>
      <c r="N23" s="19">
        <f t="shared" si="44"/>
        <v>0</v>
      </c>
      <c r="O23" s="19">
        <f t="shared" si="44"/>
        <v>0</v>
      </c>
      <c r="P23" s="19">
        <f t="shared" si="44"/>
        <v>0</v>
      </c>
      <c r="Q23" s="19">
        <f t="shared" si="44"/>
        <v>0</v>
      </c>
      <c r="R23" s="19">
        <f t="shared" si="44"/>
        <v>0</v>
      </c>
      <c r="S23" s="19">
        <f t="shared" si="44"/>
        <v>0</v>
      </c>
      <c r="T23" s="19">
        <f t="shared" si="44"/>
        <v>0</v>
      </c>
      <c r="U23" s="19">
        <f t="shared" si="44"/>
        <v>0</v>
      </c>
      <c r="V23" s="19">
        <f t="shared" si="44"/>
        <v>0</v>
      </c>
      <c r="W23" s="19">
        <f t="shared" si="44"/>
        <v>0</v>
      </c>
      <c r="X23" s="19">
        <f t="shared" si="44"/>
        <v>0</v>
      </c>
      <c r="Y23" s="19">
        <f t="shared" si="44"/>
        <v>0</v>
      </c>
      <c r="Z23" s="19">
        <f t="shared" si="44"/>
        <v>0</v>
      </c>
      <c r="AA23" s="19">
        <f t="shared" si="44"/>
        <v>0</v>
      </c>
      <c r="AB23" s="19">
        <f t="shared" si="44"/>
        <v>0</v>
      </c>
      <c r="AC23" s="19">
        <f t="shared" si="44"/>
        <v>0</v>
      </c>
      <c r="AD23" s="19">
        <f t="shared" si="44"/>
        <v>0</v>
      </c>
      <c r="AE23" s="19">
        <f t="shared" si="44"/>
        <v>0</v>
      </c>
      <c r="AF23" s="19">
        <f t="shared" si="44"/>
        <v>0</v>
      </c>
      <c r="AG23" s="19">
        <f t="shared" si="44"/>
        <v>0</v>
      </c>
      <c r="AH23" s="19">
        <f t="shared" si="44"/>
        <v>0</v>
      </c>
      <c r="AI23" s="19">
        <f t="shared" si="44"/>
        <v>0</v>
      </c>
      <c r="AJ23" s="19">
        <f t="shared" si="44"/>
        <v>0</v>
      </c>
      <c r="AK23" s="19">
        <f t="shared" si="44"/>
        <v>0</v>
      </c>
      <c r="AL23" s="19">
        <f t="shared" si="44"/>
        <v>0</v>
      </c>
      <c r="AM23" s="19">
        <f t="shared" si="43"/>
        <v>0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1500</v>
      </c>
      <c r="E28" s="18">
        <v>1515</v>
      </c>
      <c r="F28" s="18">
        <v>1530.15</v>
      </c>
      <c r="G28" s="18">
        <v>1545.4515000000001</v>
      </c>
      <c r="H28" s="18">
        <v>1560.9060150000003</v>
      </c>
      <c r="I28" s="18">
        <v>1576.5150751500003</v>
      </c>
      <c r="J28" s="18">
        <v>1592.2802259015002</v>
      </c>
      <c r="K28" s="18">
        <v>1608.2030281605153</v>
      </c>
      <c r="L28" s="18">
        <v>1624.2850584421203</v>
      </c>
      <c r="M28" s="18">
        <f>L28*(0.9)</f>
        <v>1461.8565525979084</v>
      </c>
      <c r="N28" s="18">
        <v>1476.4751181238876</v>
      </c>
      <c r="O28" s="18">
        <v>1491.2398693051264</v>
      </c>
      <c r="P28" s="18">
        <v>1506.1522679981776</v>
      </c>
      <c r="Q28" s="18">
        <v>1521.2137906781595</v>
      </c>
      <c r="R28" s="18">
        <v>1536.4259285849412</v>
      </c>
      <c r="S28" s="18">
        <v>1551.7901878707905</v>
      </c>
      <c r="T28" s="18">
        <f>S28*(0.9)</f>
        <v>1396.6111690837115</v>
      </c>
      <c r="U28" s="18">
        <v>1410.5772807745486</v>
      </c>
      <c r="V28" s="18">
        <v>1424.6830535822942</v>
      </c>
      <c r="W28" s="18">
        <v>1438.9298841181171</v>
      </c>
      <c r="X28" s="18">
        <v>1453.3191829592984</v>
      </c>
      <c r="Y28" s="18">
        <f>X28*(0.9)</f>
        <v>1307.9872646633685</v>
      </c>
      <c r="Z28" s="18">
        <v>1321.0671373100022</v>
      </c>
      <c r="AA28" s="18">
        <v>1334.2778086831022</v>
      </c>
      <c r="AB28" s="18">
        <v>1347.6205867699332</v>
      </c>
      <c r="AC28" s="18">
        <v>1361.0967926376325</v>
      </c>
      <c r="AD28" s="18">
        <f>AC28*(0.9)</f>
        <v>1224.9871133738693</v>
      </c>
      <c r="AE28" s="18">
        <v>1237.236984507608</v>
      </c>
      <c r="AF28" s="18">
        <v>1249.609354352684</v>
      </c>
      <c r="AG28" s="18">
        <v>1262.1054478962108</v>
      </c>
      <c r="AH28" s="18">
        <v>1274.7265023751729</v>
      </c>
      <c r="AI28" s="18">
        <v>1287.4737673989246</v>
      </c>
      <c r="AJ28" s="18">
        <f>AI28*(0.9)</f>
        <v>1158.7263906590322</v>
      </c>
      <c r="AK28" s="18">
        <v>1170.3136545656225</v>
      </c>
      <c r="AL28" s="18">
        <v>1182.0167911112787</v>
      </c>
      <c r="AM28" s="18">
        <v>1193.8369590223915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5">SUM(D28, D27, D26, D25 + D24)</f>
        <v>1500</v>
      </c>
      <c r="E29" s="19">
        <f t="shared" ref="E29:AL29" si="46">SUM(E28, E27, E26, E25 + E24)</f>
        <v>1515</v>
      </c>
      <c r="F29" s="19">
        <f t="shared" si="46"/>
        <v>1530.15</v>
      </c>
      <c r="G29" s="19">
        <f t="shared" si="46"/>
        <v>1545.4515000000001</v>
      </c>
      <c r="H29" s="19">
        <f t="shared" si="46"/>
        <v>1560.9060150000003</v>
      </c>
      <c r="I29" s="19">
        <f t="shared" si="46"/>
        <v>1576.5150751500003</v>
      </c>
      <c r="J29" s="19">
        <f t="shared" si="46"/>
        <v>1592.2802259015002</v>
      </c>
      <c r="K29" s="19">
        <f t="shared" si="46"/>
        <v>1608.2030281605153</v>
      </c>
      <c r="L29" s="19">
        <f t="shared" si="46"/>
        <v>1624.2850584421203</v>
      </c>
      <c r="M29" s="19">
        <f t="shared" si="46"/>
        <v>1461.8565525979084</v>
      </c>
      <c r="N29" s="19">
        <f t="shared" si="46"/>
        <v>1476.4751181238876</v>
      </c>
      <c r="O29" s="19">
        <f t="shared" si="46"/>
        <v>1491.2398693051264</v>
      </c>
      <c r="P29" s="19">
        <f t="shared" si="46"/>
        <v>1506.1522679981776</v>
      </c>
      <c r="Q29" s="19">
        <f t="shared" si="46"/>
        <v>1521.2137906781595</v>
      </c>
      <c r="R29" s="19">
        <f t="shared" si="46"/>
        <v>1536.4259285849412</v>
      </c>
      <c r="S29" s="19">
        <f t="shared" si="46"/>
        <v>1551.7901878707905</v>
      </c>
      <c r="T29" s="19">
        <f t="shared" si="46"/>
        <v>1396.6111690837115</v>
      </c>
      <c r="U29" s="19">
        <f t="shared" si="46"/>
        <v>1410.5772807745486</v>
      </c>
      <c r="V29" s="19">
        <f t="shared" si="46"/>
        <v>1424.6830535822942</v>
      </c>
      <c r="W29" s="19">
        <f t="shared" si="46"/>
        <v>1438.9298841181171</v>
      </c>
      <c r="X29" s="19">
        <f t="shared" si="46"/>
        <v>1453.3191829592984</v>
      </c>
      <c r="Y29" s="19">
        <f t="shared" si="46"/>
        <v>1307.9872646633685</v>
      </c>
      <c r="Z29" s="19">
        <f t="shared" si="46"/>
        <v>1321.0671373100022</v>
      </c>
      <c r="AA29" s="19">
        <f t="shared" si="46"/>
        <v>1334.2778086831022</v>
      </c>
      <c r="AB29" s="19">
        <f t="shared" si="46"/>
        <v>1347.6205867699332</v>
      </c>
      <c r="AC29" s="19">
        <f t="shared" si="46"/>
        <v>1361.0967926376325</v>
      </c>
      <c r="AD29" s="19">
        <f t="shared" si="46"/>
        <v>1224.9871133738693</v>
      </c>
      <c r="AE29" s="19">
        <f t="shared" si="46"/>
        <v>1237.236984507608</v>
      </c>
      <c r="AF29" s="19">
        <f t="shared" si="46"/>
        <v>1249.609354352684</v>
      </c>
      <c r="AG29" s="19">
        <f t="shared" si="46"/>
        <v>1262.1054478962108</v>
      </c>
      <c r="AH29" s="19">
        <f t="shared" si="46"/>
        <v>1274.7265023751729</v>
      </c>
      <c r="AI29" s="19">
        <f t="shared" si="46"/>
        <v>1287.4737673989246</v>
      </c>
      <c r="AJ29" s="19">
        <f t="shared" si="46"/>
        <v>1158.7263906590322</v>
      </c>
      <c r="AK29" s="19">
        <f t="shared" si="46"/>
        <v>1170.3136545656225</v>
      </c>
      <c r="AL29" s="19">
        <f t="shared" si="46"/>
        <v>1182.0167911112787</v>
      </c>
      <c r="AM29" s="19">
        <f t="shared" si="45"/>
        <v>1193.8369590223915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8000</v>
      </c>
      <c r="E31" s="18">
        <v>8160</v>
      </c>
      <c r="F31" s="18">
        <v>8323.2000000000007</v>
      </c>
      <c r="G31" s="18">
        <v>8489.6640000000007</v>
      </c>
      <c r="H31" s="18">
        <v>8659.4572800000005</v>
      </c>
      <c r="I31" s="18">
        <v>8832.6464255999999</v>
      </c>
      <c r="J31" s="18">
        <f>I31*(0.9)</f>
        <v>7949.3817830400003</v>
      </c>
      <c r="K31" s="18">
        <v>8108.3694187008005</v>
      </c>
      <c r="L31" s="18">
        <v>8270.5368070748173</v>
      </c>
      <c r="M31" s="18">
        <v>8435.9475432163144</v>
      </c>
      <c r="N31" s="18">
        <v>8604.6664940806404</v>
      </c>
      <c r="O31" s="18">
        <f>N31*(0.9)</f>
        <v>7744.1998446725765</v>
      </c>
      <c r="P31" s="18">
        <v>7899.0838415660282</v>
      </c>
      <c r="Q31" s="18">
        <v>8057.0655183973486</v>
      </c>
      <c r="R31" s="18">
        <v>8218.2068287652965</v>
      </c>
      <c r="S31" s="18">
        <v>8382.5709653406029</v>
      </c>
      <c r="T31" s="18">
        <v>8550.2223846474153</v>
      </c>
      <c r="U31" s="18">
        <v>8721.2268323403641</v>
      </c>
      <c r="V31" s="18">
        <f>U31*(0.9)</f>
        <v>7849.1041491063279</v>
      </c>
      <c r="W31" s="18">
        <v>8006.0862320884544</v>
      </c>
      <c r="X31" s="18">
        <v>8166.2079567302235</v>
      </c>
      <c r="Y31" s="18">
        <v>8329.5321158648276</v>
      </c>
      <c r="Z31" s="18">
        <v>8496.122758182124</v>
      </c>
      <c r="AA31" s="18">
        <v>8666.0452133457675</v>
      </c>
      <c r="AB31" s="18">
        <v>8839.3661176126825</v>
      </c>
      <c r="AC31" s="18">
        <f>AB31*(0.9)</f>
        <v>7955.4295058514144</v>
      </c>
      <c r="AD31" s="18">
        <v>8114.5380959684426</v>
      </c>
      <c r="AE31" s="18">
        <v>8276.828857887811</v>
      </c>
      <c r="AF31" s="18">
        <v>8442.3654350455672</v>
      </c>
      <c r="AG31" s="18">
        <v>8611.2127437464787</v>
      </c>
      <c r="AH31" s="18">
        <v>8783.4369986214078</v>
      </c>
      <c r="AI31" s="18">
        <f>AH31*(0.9)</f>
        <v>7905.0932987592669</v>
      </c>
      <c r="AJ31" s="18">
        <v>8063.1951647344522</v>
      </c>
      <c r="AK31" s="18">
        <v>8224.4590680291421</v>
      </c>
      <c r="AL31" s="18">
        <v>8388.9482493897249</v>
      </c>
      <c r="AM31" s="18">
        <v>8556.727214377519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954.72</v>
      </c>
      <c r="F32" s="18">
        <v>992.90880000000004</v>
      </c>
      <c r="G32" s="18">
        <f>F32*(0.9)</f>
        <v>893.61792000000003</v>
      </c>
      <c r="H32" s="18">
        <v>929.36263680000002</v>
      </c>
      <c r="I32" s="18">
        <v>966.5371422720001</v>
      </c>
      <c r="J32" s="18">
        <v>1005.1986279628801</v>
      </c>
      <c r="K32" s="18">
        <v>1045.4065730813954</v>
      </c>
      <c r="L32" s="18">
        <v>1087.2228360046513</v>
      </c>
      <c r="M32" s="18">
        <v>1130.7117494448373</v>
      </c>
      <c r="N32" s="18">
        <v>1175.9402194226309</v>
      </c>
      <c r="O32" s="18">
        <v>1222.9778281995361</v>
      </c>
      <c r="P32" s="18">
        <v>1271.8969413275177</v>
      </c>
      <c r="Q32" s="18">
        <f>P32*(0.9)</f>
        <v>1144.7072471947658</v>
      </c>
      <c r="R32" s="18">
        <v>1190.4955370825564</v>
      </c>
      <c r="S32" s="18">
        <v>1238.1153585658587</v>
      </c>
      <c r="T32" s="18">
        <v>1287.6399729084931</v>
      </c>
      <c r="U32" s="18">
        <v>1339.1455718248328</v>
      </c>
      <c r="V32" s="18">
        <v>1392.7113946978261</v>
      </c>
      <c r="W32" s="18">
        <v>1448.4198504857393</v>
      </c>
      <c r="X32" s="18">
        <f>W32*(0.9)</f>
        <v>1303.5778654371654</v>
      </c>
      <c r="Y32" s="18">
        <v>1355.720980054652</v>
      </c>
      <c r="Z32" s="18">
        <v>1409.9498192568383</v>
      </c>
      <c r="AA32" s="18">
        <v>1466.3478120271118</v>
      </c>
      <c r="AB32" s="18">
        <v>1525.0017245081963</v>
      </c>
      <c r="AC32" s="18">
        <v>1586.0017934885241</v>
      </c>
      <c r="AD32" s="18">
        <v>1649.4418652280651</v>
      </c>
      <c r="AE32" s="18">
        <f>AD32*(0.9)</f>
        <v>1484.4976787052587</v>
      </c>
      <c r="AF32" s="18">
        <v>1543.8775858534691</v>
      </c>
      <c r="AG32" s="18">
        <v>1605.6326892876079</v>
      </c>
      <c r="AH32" s="18">
        <f>AG32*(0.9)</f>
        <v>1445.0694203588471</v>
      </c>
      <c r="AI32" s="18">
        <v>1502.8721971732011</v>
      </c>
      <c r="AJ32" s="18">
        <v>1562.9870850601292</v>
      </c>
      <c r="AK32" s="18">
        <v>1625.5065684625345</v>
      </c>
      <c r="AL32" s="18">
        <f>AK32*(0.9)</f>
        <v>1462.9559116162811</v>
      </c>
      <c r="AM32" s="18">
        <v>1521.4741480809325</v>
      </c>
    </row>
    <row r="33" spans="2:39" s="17" customFormat="1" ht="21" customHeight="1" x14ac:dyDescent="0.3">
      <c r="B33" s="7" t="s">
        <v>31</v>
      </c>
      <c r="C33" s="15"/>
      <c r="D33" s="18">
        <v>800</v>
      </c>
      <c r="E33" s="18">
        <v>832</v>
      </c>
      <c r="F33" s="18">
        <v>865.28</v>
      </c>
      <c r="G33" s="18">
        <v>899.89120000000003</v>
      </c>
      <c r="H33" s="18">
        <v>935.8868480000001</v>
      </c>
      <c r="I33" s="18">
        <v>973.32232192000015</v>
      </c>
      <c r="J33" s="18">
        <v>1012.2552147968001</v>
      </c>
      <c r="K33" s="18">
        <v>1052.7454233886722</v>
      </c>
      <c r="L33" s="18">
        <v>1094.855240324219</v>
      </c>
      <c r="M33" s="18">
        <v>1138.6494499371879</v>
      </c>
      <c r="N33" s="18">
        <v>1184.1954279346755</v>
      </c>
      <c r="O33" s="18">
        <v>1231.5632450520627</v>
      </c>
      <c r="P33" s="18">
        <v>1280.8257748541453</v>
      </c>
      <c r="Q33" s="18">
        <v>1332.0588058483111</v>
      </c>
      <c r="R33" s="18">
        <v>1385.3411580822435</v>
      </c>
      <c r="S33" s="18">
        <v>1440.7548044055334</v>
      </c>
      <c r="T33" s="18">
        <v>1498.3849965817549</v>
      </c>
      <c r="U33" s="18">
        <v>1558.3203964450252</v>
      </c>
      <c r="V33" s="18">
        <v>1620.6532123028262</v>
      </c>
      <c r="W33" s="18">
        <v>1685.4793407949394</v>
      </c>
      <c r="X33" s="18">
        <v>1752.8985144267369</v>
      </c>
      <c r="Y33" s="18">
        <v>1823.0144550038065</v>
      </c>
      <c r="Z33" s="18">
        <v>1895.9350332039587</v>
      </c>
      <c r="AA33" s="18">
        <v>1971.7724345321171</v>
      </c>
      <c r="AB33" s="18">
        <v>2050.6433319134021</v>
      </c>
      <c r="AC33" s="18">
        <v>2132.6690651899385</v>
      </c>
      <c r="AD33" s="18">
        <v>2217.9758277975361</v>
      </c>
      <c r="AE33" s="18">
        <v>2306.6948609094375</v>
      </c>
      <c r="AF33" s="18">
        <v>2398.9626553458152</v>
      </c>
      <c r="AG33" s="18">
        <v>2494.9211615596478</v>
      </c>
      <c r="AH33" s="18">
        <v>2594.7180080220337</v>
      </c>
      <c r="AI33" s="18">
        <v>2698.5067283429153</v>
      </c>
      <c r="AJ33" s="18">
        <v>2806.4469974766321</v>
      </c>
      <c r="AK33" s="18">
        <v>2918.7048773756974</v>
      </c>
      <c r="AL33" s="18">
        <v>3035.4530724707256</v>
      </c>
      <c r="AM33" s="18">
        <v>3156.8711953695547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7">SUM(D35, D34, D33, D32, D31 + D30)</f>
        <v>9775.375</v>
      </c>
      <c r="E36" s="19">
        <f t="shared" ref="E36:AL36" si="48">SUM(E35, E34, E33, E32, E31 + E30)</f>
        <v>10006.39</v>
      </c>
      <c r="F36" s="19">
        <f t="shared" si="48"/>
        <v>10243.445600000001</v>
      </c>
      <c r="G36" s="19">
        <f t="shared" si="48"/>
        <v>10347.712192000001</v>
      </c>
      <c r="H36" s="19">
        <f t="shared" si="48"/>
        <v>10591.827399680002</v>
      </c>
      <c r="I36" s="19">
        <f t="shared" si="48"/>
        <v>10842.311350067201</v>
      </c>
      <c r="J36" s="19">
        <f t="shared" si="48"/>
        <v>10039.433304485889</v>
      </c>
      <c r="K36" s="19">
        <f t="shared" si="48"/>
        <v>10282.023001004523</v>
      </c>
      <c r="L36" s="19">
        <f t="shared" si="48"/>
        <v>10531.136532670691</v>
      </c>
      <c r="M36" s="19">
        <f t="shared" si="48"/>
        <v>10786.971257836023</v>
      </c>
      <c r="N36" s="19">
        <f t="shared" si="48"/>
        <v>11049.731157285136</v>
      </c>
      <c r="O36" s="19">
        <f t="shared" si="48"/>
        <v>10287.067094405253</v>
      </c>
      <c r="P36" s="19">
        <f t="shared" si="48"/>
        <v>10543.665781288011</v>
      </c>
      <c r="Q36" s="19">
        <f t="shared" si="48"/>
        <v>10629.365163922359</v>
      </c>
      <c r="R36" s="19">
        <f t="shared" si="48"/>
        <v>10893.398460111308</v>
      </c>
      <c r="S36" s="19">
        <f t="shared" si="48"/>
        <v>11164.770261940455</v>
      </c>
      <c r="T36" s="19">
        <f t="shared" si="48"/>
        <v>11443.709653111262</v>
      </c>
      <c r="U36" s="19">
        <f t="shared" si="48"/>
        <v>11730.453591542764</v>
      </c>
      <c r="V36" s="19">
        <f t="shared" si="48"/>
        <v>10978.699978676825</v>
      </c>
      <c r="W36" s="19">
        <f t="shared" si="48"/>
        <v>11260.865894841771</v>
      </c>
      <c r="X36" s="19">
        <f t="shared" si="48"/>
        <v>11348.400026925668</v>
      </c>
      <c r="Y36" s="19">
        <f t="shared" si="48"/>
        <v>11639.01186886809</v>
      </c>
      <c r="Z36" s="19">
        <f t="shared" si="48"/>
        <v>11937.981701305518</v>
      </c>
      <c r="AA36" s="19">
        <f t="shared" si="48"/>
        <v>12245.578514194098</v>
      </c>
      <c r="AB36" s="19">
        <f t="shared" si="48"/>
        <v>12562.080750494944</v>
      </c>
      <c r="AC36" s="19">
        <f t="shared" si="48"/>
        <v>11827.052724048968</v>
      </c>
      <c r="AD36" s="19">
        <f t="shared" si="48"/>
        <v>12141.026242893899</v>
      </c>
      <c r="AE36" s="19">
        <f t="shared" si="48"/>
        <v>12233.454669558356</v>
      </c>
      <c r="AF36" s="19">
        <f t="shared" si="48"/>
        <v>12557.256279182933</v>
      </c>
      <c r="AG36" s="19">
        <f t="shared" si="48"/>
        <v>12890.69922164934</v>
      </c>
      <c r="AH36" s="19">
        <f t="shared" si="48"/>
        <v>13009.314359140119</v>
      </c>
      <c r="AI36" s="19">
        <f t="shared" si="48"/>
        <v>12300.005753698726</v>
      </c>
      <c r="AJ36" s="19">
        <f t="shared" si="48"/>
        <v>12633.904117871491</v>
      </c>
      <c r="AK36" s="19">
        <f t="shared" si="48"/>
        <v>12977.996379291662</v>
      </c>
      <c r="AL36" s="19">
        <f t="shared" si="48"/>
        <v>13105.056133517992</v>
      </c>
      <c r="AM36" s="19">
        <f t="shared" si="47"/>
        <v>13461.479413870917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918.00000000000011</v>
      </c>
      <c r="F39" s="18">
        <v>991.44000000000017</v>
      </c>
      <c r="G39" s="18">
        <v>1070.7552000000003</v>
      </c>
      <c r="H39" s="18">
        <f>G39*(0.85)</f>
        <v>910.14192000000025</v>
      </c>
      <c r="I39" s="18">
        <v>982.95327360000033</v>
      </c>
      <c r="J39" s="18">
        <v>1061.5895354880004</v>
      </c>
      <c r="K39" s="18">
        <v>1146.5166983270406</v>
      </c>
      <c r="L39" s="18">
        <v>1238.2380341932039</v>
      </c>
      <c r="M39" s="18">
        <v>1337.2970769286603</v>
      </c>
      <c r="N39" s="18">
        <v>1444.2808430829532</v>
      </c>
      <c r="O39" s="18">
        <f>N39*(0.85)</f>
        <v>1227.6387166205102</v>
      </c>
      <c r="P39" s="18">
        <v>1325.8498139501512</v>
      </c>
      <c r="Q39" s="18">
        <v>1431.9177990661633</v>
      </c>
      <c r="R39" s="18">
        <v>1546.4712229914564</v>
      </c>
      <c r="S39" s="18">
        <v>1670.188920830773</v>
      </c>
      <c r="T39" s="18">
        <v>1803.8040344972349</v>
      </c>
      <c r="U39" s="18">
        <v>1948.1083572570137</v>
      </c>
      <c r="V39" s="18">
        <f>U39*(0.85)</f>
        <v>1655.8921036684617</v>
      </c>
      <c r="W39" s="18">
        <v>1788.3634719619388</v>
      </c>
      <c r="X39" s="18">
        <v>1931.4325497188941</v>
      </c>
      <c r="Y39" s="18">
        <v>2085.9471536964056</v>
      </c>
      <c r="Z39" s="18">
        <v>2252.8229259921181</v>
      </c>
      <c r="AA39" s="18">
        <v>2433.0487600714878</v>
      </c>
      <c r="AB39" s="18">
        <f>AA39*(0.85)</f>
        <v>2068.0914460607646</v>
      </c>
      <c r="AC39" s="18">
        <v>2233.5387617456258</v>
      </c>
      <c r="AD39" s="18">
        <v>2412.2218626852759</v>
      </c>
      <c r="AE39" s="18">
        <v>2605.1996117000981</v>
      </c>
      <c r="AF39" s="18">
        <v>2813.6155806361062</v>
      </c>
      <c r="AG39" s="18">
        <v>3038.704827086995</v>
      </c>
      <c r="AH39" s="18">
        <v>3281.8012132539548</v>
      </c>
      <c r="AI39" s="18">
        <v>3544.3453103142715</v>
      </c>
      <c r="AJ39" s="18">
        <f>AI39*(0.85)</f>
        <v>3012.6935137671308</v>
      </c>
      <c r="AK39" s="18">
        <v>3253.7089948685016</v>
      </c>
      <c r="AL39" s="18">
        <v>3514.0057144579819</v>
      </c>
      <c r="AM39" s="18">
        <v>3795.1261716146205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624</v>
      </c>
      <c r="F40" s="18">
        <v>648.96</v>
      </c>
      <c r="G40" s="18">
        <v>674.91840000000002</v>
      </c>
      <c r="H40" s="18">
        <v>701.91513600000008</v>
      </c>
      <c r="I40" s="18">
        <v>729.99174144000006</v>
      </c>
      <c r="J40" s="18">
        <v>759.19141109760005</v>
      </c>
      <c r="K40" s="18">
        <v>789.55906754150408</v>
      </c>
      <c r="L40" s="18">
        <v>821.14143024316422</v>
      </c>
      <c r="M40" s="18">
        <v>853.98708745289082</v>
      </c>
      <c r="N40" s="18">
        <v>888.14657095100654</v>
      </c>
      <c r="O40" s="18">
        <v>923.67243378904686</v>
      </c>
      <c r="P40" s="18">
        <v>960.61933114060878</v>
      </c>
      <c r="Q40" s="18">
        <v>999.04410438623313</v>
      </c>
      <c r="R40" s="18">
        <v>1039.0058685616825</v>
      </c>
      <c r="S40" s="18">
        <v>1080.5661033041499</v>
      </c>
      <c r="T40" s="18">
        <v>1123.788747436316</v>
      </c>
      <c r="U40" s="18">
        <v>1168.7402973337687</v>
      </c>
      <c r="V40" s="18">
        <v>1215.4899092271196</v>
      </c>
      <c r="W40" s="18">
        <v>1264.1095055962044</v>
      </c>
      <c r="X40" s="18">
        <v>1314.6738858200526</v>
      </c>
      <c r="Y40" s="18">
        <v>1367.2608412528548</v>
      </c>
      <c r="Z40" s="18">
        <v>1421.9512749029691</v>
      </c>
      <c r="AA40" s="18">
        <v>1478.829325899088</v>
      </c>
      <c r="AB40" s="18">
        <v>1537.9824989350516</v>
      </c>
      <c r="AC40" s="18">
        <v>1599.5017988924537</v>
      </c>
      <c r="AD40" s="18">
        <v>1663.4818708481519</v>
      </c>
      <c r="AE40" s="18">
        <v>1730.021145682078</v>
      </c>
      <c r="AF40" s="18">
        <v>1799.2219915093613</v>
      </c>
      <c r="AG40" s="18">
        <v>1871.1908711697358</v>
      </c>
      <c r="AH40" s="18">
        <v>1946.0385060165254</v>
      </c>
      <c r="AI40" s="18">
        <v>2023.8800462571865</v>
      </c>
      <c r="AJ40" s="18">
        <v>2104.8352481074739</v>
      </c>
      <c r="AK40" s="18">
        <v>2189.0286580317729</v>
      </c>
      <c r="AL40" s="18">
        <v>2276.5898043530437</v>
      </c>
      <c r="AM40" s="18">
        <v>2367.6533965271656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260</v>
      </c>
      <c r="F41" s="18">
        <v>270.40000000000003</v>
      </c>
      <c r="G41" s="18">
        <v>281.21600000000007</v>
      </c>
      <c r="H41" s="18">
        <v>292.46464000000009</v>
      </c>
      <c r="I41" s="18">
        <v>304.16322560000009</v>
      </c>
      <c r="J41" s="18">
        <v>316.32975462400009</v>
      </c>
      <c r="K41" s="18">
        <v>328.9829448089601</v>
      </c>
      <c r="L41" s="18">
        <v>342.14226260131852</v>
      </c>
      <c r="M41" s="18">
        <v>355.82795310537125</v>
      </c>
      <c r="N41" s="18">
        <v>370.0610712295861</v>
      </c>
      <c r="O41" s="18">
        <v>384.86351407876958</v>
      </c>
      <c r="P41" s="18">
        <v>400.25805464192035</v>
      </c>
      <c r="Q41" s="18">
        <v>416.26837682759719</v>
      </c>
      <c r="R41" s="18">
        <v>432.91911190070107</v>
      </c>
      <c r="S41" s="18">
        <v>450.23587637672915</v>
      </c>
      <c r="T41" s="18">
        <v>468.24531143179831</v>
      </c>
      <c r="U41" s="18">
        <v>486.97512388907029</v>
      </c>
      <c r="V41" s="18">
        <v>506.45412884463315</v>
      </c>
      <c r="W41" s="18">
        <v>526.71229399841855</v>
      </c>
      <c r="X41" s="18">
        <v>547.78078575835525</v>
      </c>
      <c r="Y41" s="18">
        <v>569.69201718868953</v>
      </c>
      <c r="Z41" s="18">
        <v>592.47969787623708</v>
      </c>
      <c r="AA41" s="18">
        <v>616.17888579128658</v>
      </c>
      <c r="AB41" s="18">
        <v>640.8260412229381</v>
      </c>
      <c r="AC41" s="18">
        <v>666.45908287185568</v>
      </c>
      <c r="AD41" s="18">
        <v>693.11744618672992</v>
      </c>
      <c r="AE41" s="18">
        <v>720.84214403419912</v>
      </c>
      <c r="AF41" s="18">
        <v>749.6758297955671</v>
      </c>
      <c r="AG41" s="18">
        <v>779.66286298738976</v>
      </c>
      <c r="AH41" s="18">
        <v>810.84937750688539</v>
      </c>
      <c r="AI41" s="18">
        <v>843.28335260716085</v>
      </c>
      <c r="AJ41" s="18">
        <v>877.01468671144733</v>
      </c>
      <c r="AK41" s="18">
        <v>912.09527417990523</v>
      </c>
      <c r="AL41" s="18">
        <v>948.57908514710152</v>
      </c>
      <c r="AM41" s="18">
        <v>986.52224855298562</v>
      </c>
    </row>
    <row r="42" spans="2:39" s="32" customFormat="1" ht="21" customHeight="1" x14ac:dyDescent="0.3">
      <c r="B42" s="28" t="s">
        <v>40</v>
      </c>
      <c r="C42" s="29"/>
      <c r="D42" s="31">
        <f t="shared" ref="D42" si="49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0">SUM(D41, D40, D39, D38, D37, D35, D34, D33, D32, D31, D30, D28, D27, D26, D25, D24, D22, D21, D20, D19, D18, D17, D16, D15, D14 + D13)</f>
        <v>22975.375</v>
      </c>
      <c r="E43" s="19">
        <f t="shared" ref="E43:AL43" si="51">SUM(E41, E40, E39, E38, E37, E35, E34, E33, E32, E31, E30, E28, E27, E26, E25, E24, E22, E21, E20, E19, E18, E17, E16, E15, E14 + E13)</f>
        <v>23663.39</v>
      </c>
      <c r="F43" s="19">
        <f t="shared" si="51"/>
        <v>23793.795600000001</v>
      </c>
      <c r="G43" s="19">
        <f t="shared" si="51"/>
        <v>23542.673291999999</v>
      </c>
      <c r="H43" s="19">
        <f t="shared" si="51"/>
        <v>24007.491310680001</v>
      </c>
      <c r="I43" s="19">
        <f t="shared" si="51"/>
        <v>24725.173055857205</v>
      </c>
      <c r="J43" s="19">
        <f t="shared" si="51"/>
        <v>24408.854681456989</v>
      </c>
      <c r="K43" s="19">
        <f t="shared" si="51"/>
        <v>25158.315607684744</v>
      </c>
      <c r="L43" s="19">
        <f t="shared" si="51"/>
        <v>25935.616596693821</v>
      </c>
      <c r="M43" s="19">
        <f t="shared" si="51"/>
        <v>25900.117332138103</v>
      </c>
      <c r="N43" s="19">
        <f t="shared" si="51"/>
        <v>25222.454424468098</v>
      </c>
      <c r="O43" s="19">
        <f t="shared" si="51"/>
        <v>24646.426652590613</v>
      </c>
      <c r="P43" s="19">
        <f t="shared" si="51"/>
        <v>25418.356097652359</v>
      </c>
      <c r="Q43" s="19">
        <f t="shared" si="51"/>
        <v>26041.578181423214</v>
      </c>
      <c r="R43" s="19">
        <f t="shared" si="51"/>
        <v>25387.61264403852</v>
      </c>
      <c r="S43" s="19">
        <f t="shared" si="51"/>
        <v>26193.972694781376</v>
      </c>
      <c r="T43" s="19">
        <f t="shared" si="51"/>
        <v>26861.274332606492</v>
      </c>
      <c r="U43" s="19">
        <f t="shared" si="51"/>
        <v>27730.741019898811</v>
      </c>
      <c r="V43" s="19">
        <f t="shared" si="51"/>
        <v>26528.605675537925</v>
      </c>
      <c r="W43" s="19">
        <f t="shared" si="51"/>
        <v>26837.52033432871</v>
      </c>
      <c r="X43" s="19">
        <f t="shared" si="51"/>
        <v>27506.297426700839</v>
      </c>
      <c r="Y43" s="19">
        <f t="shared" si="51"/>
        <v>27304.880004910796</v>
      </c>
      <c r="Z43" s="19">
        <f t="shared" si="51"/>
        <v>28209.616831105875</v>
      </c>
      <c r="AA43" s="19">
        <f t="shared" si="51"/>
        <v>29151.541972218085</v>
      </c>
      <c r="AB43" s="19">
        <f t="shared" si="51"/>
        <v>29572.946628880385</v>
      </c>
      <c r="AC43" s="19">
        <f t="shared" si="51"/>
        <v>27962.359935053613</v>
      </c>
      <c r="AD43" s="19">
        <f t="shared" si="51"/>
        <v>28756.544304461691</v>
      </c>
      <c r="AE43" s="19">
        <f t="shared" si="51"/>
        <v>29507.423594196127</v>
      </c>
      <c r="AF43" s="19">
        <f t="shared" si="51"/>
        <v>30521.388441625095</v>
      </c>
      <c r="AG43" s="19">
        <f t="shared" si="51"/>
        <v>30059.171696323272</v>
      </c>
      <c r="AH43" s="19">
        <f t="shared" si="51"/>
        <v>30885.280075104023</v>
      </c>
      <c r="AI43" s="19">
        <f t="shared" si="51"/>
        <v>30919.22174379621</v>
      </c>
      <c r="AJ43" s="19">
        <f t="shared" si="51"/>
        <v>31077.453644974506</v>
      </c>
      <c r="AK43" s="19">
        <f t="shared" si="51"/>
        <v>32176.267775120836</v>
      </c>
      <c r="AL43" s="19">
        <f t="shared" si="51"/>
        <v>32174.690732994361</v>
      </c>
      <c r="AM43" s="19">
        <f t="shared" si="50"/>
        <v>32666.916876941614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2">D12-D43</f>
        <v>-23775.375</v>
      </c>
      <c r="E44" s="23">
        <f t="shared" ref="E44:AL44" si="53">E12-E43</f>
        <v>-24495.39</v>
      </c>
      <c r="F44" s="23">
        <f t="shared" si="53"/>
        <v>-24659.0756</v>
      </c>
      <c r="G44" s="23">
        <f t="shared" si="53"/>
        <v>-24442.564491999998</v>
      </c>
      <c r="H44" s="23">
        <f t="shared" si="53"/>
        <v>-24943.378158680003</v>
      </c>
      <c r="I44" s="23">
        <f t="shared" si="53"/>
        <v>-25698.495377777206</v>
      </c>
      <c r="J44" s="23">
        <f t="shared" si="53"/>
        <v>-25421.109896253791</v>
      </c>
      <c r="K44" s="23">
        <f t="shared" si="53"/>
        <v>-26211.061031073416</v>
      </c>
      <c r="L44" s="23">
        <f t="shared" si="53"/>
        <v>-27030.471837018038</v>
      </c>
      <c r="M44" s="23">
        <f t="shared" si="53"/>
        <v>-27038.76678207529</v>
      </c>
      <c r="N44" s="23">
        <f t="shared" si="53"/>
        <v>-26406.649852402774</v>
      </c>
      <c r="O44" s="23">
        <f t="shared" si="53"/>
        <v>-25877.989897642678</v>
      </c>
      <c r="P44" s="23">
        <f t="shared" si="53"/>
        <v>-26699.181872506502</v>
      </c>
      <c r="Q44" s="23">
        <f t="shared" si="53"/>
        <v>-27373.636987271526</v>
      </c>
      <c r="R44" s="23">
        <f t="shared" si="53"/>
        <v>-26772.953802120763</v>
      </c>
      <c r="S44" s="23">
        <f t="shared" si="53"/>
        <v>-27634.727499186909</v>
      </c>
      <c r="T44" s="23">
        <f t="shared" si="53"/>
        <v>-28359.659329188245</v>
      </c>
      <c r="U44" s="23">
        <f t="shared" si="53"/>
        <v>-29289.061416343837</v>
      </c>
      <c r="V44" s="23">
        <f t="shared" si="53"/>
        <v>-28149.258887840751</v>
      </c>
      <c r="W44" s="23">
        <f t="shared" si="53"/>
        <v>-28522.99967512365</v>
      </c>
      <c r="X44" s="23">
        <f t="shared" si="53"/>
        <v>-29259.195941127575</v>
      </c>
      <c r="Y44" s="23">
        <f t="shared" si="53"/>
        <v>-29127.894459914602</v>
      </c>
      <c r="Z44" s="23">
        <f t="shared" si="53"/>
        <v>-30105.551864309833</v>
      </c>
      <c r="AA44" s="23">
        <f t="shared" si="53"/>
        <v>-31123.314406750203</v>
      </c>
      <c r="AB44" s="23">
        <f t="shared" si="53"/>
        <v>-31623.589960793786</v>
      </c>
      <c r="AC44" s="23">
        <f t="shared" si="53"/>
        <v>-30095.02900024355</v>
      </c>
      <c r="AD44" s="23">
        <f t="shared" si="53"/>
        <v>-30974.520132259226</v>
      </c>
      <c r="AE44" s="23">
        <f t="shared" si="53"/>
        <v>-31814.118455105563</v>
      </c>
      <c r="AF44" s="23">
        <f t="shared" si="53"/>
        <v>-32920.35109697091</v>
      </c>
      <c r="AG44" s="23">
        <f t="shared" si="53"/>
        <v>-32554.092857882919</v>
      </c>
      <c r="AH44" s="23">
        <f t="shared" si="53"/>
        <v>-33479.998083126055</v>
      </c>
      <c r="AI44" s="23">
        <f t="shared" si="53"/>
        <v>-33617.728472139126</v>
      </c>
      <c r="AJ44" s="23">
        <f t="shared" si="53"/>
        <v>-33883.900642451139</v>
      </c>
      <c r="AK44" s="23">
        <f t="shared" si="53"/>
        <v>-35094.97265249653</v>
      </c>
      <c r="AL44" s="23">
        <f t="shared" si="53"/>
        <v>-35210.143805465086</v>
      </c>
      <c r="AM44" s="23">
        <f t="shared" si="52"/>
        <v>-35823.788072311167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4">SUM(D46 + D45)</f>
        <v>0</v>
      </c>
      <c r="E47" s="19">
        <f t="shared" si="54"/>
        <v>0</v>
      </c>
      <c r="F47" s="19">
        <f t="shared" si="54"/>
        <v>0</v>
      </c>
      <c r="G47" s="19">
        <f t="shared" si="54"/>
        <v>0</v>
      </c>
      <c r="H47" s="19">
        <f t="shared" si="54"/>
        <v>0</v>
      </c>
      <c r="I47" s="19">
        <f t="shared" si="54"/>
        <v>0</v>
      </c>
      <c r="J47" s="19">
        <f t="shared" si="54"/>
        <v>0</v>
      </c>
      <c r="K47" s="19">
        <f t="shared" si="54"/>
        <v>0</v>
      </c>
      <c r="L47" s="19">
        <f t="shared" si="54"/>
        <v>0</v>
      </c>
      <c r="M47" s="19">
        <f t="shared" si="54"/>
        <v>0</v>
      </c>
      <c r="N47" s="19">
        <f t="shared" si="54"/>
        <v>0</v>
      </c>
      <c r="O47" s="19">
        <f t="shared" si="54"/>
        <v>0</v>
      </c>
      <c r="P47" s="19">
        <f t="shared" si="54"/>
        <v>0</v>
      </c>
      <c r="Q47" s="19">
        <f t="shared" si="54"/>
        <v>0</v>
      </c>
      <c r="R47" s="19">
        <f t="shared" si="54"/>
        <v>0</v>
      </c>
      <c r="S47" s="19">
        <f t="shared" si="54"/>
        <v>0</v>
      </c>
      <c r="T47" s="19">
        <f t="shared" si="54"/>
        <v>0</v>
      </c>
      <c r="U47" s="19">
        <f t="shared" si="54"/>
        <v>0</v>
      </c>
      <c r="V47" s="19">
        <f t="shared" si="54"/>
        <v>0</v>
      </c>
      <c r="W47" s="19">
        <f t="shared" si="54"/>
        <v>0</v>
      </c>
      <c r="X47" s="19">
        <f t="shared" si="54"/>
        <v>0</v>
      </c>
      <c r="Y47" s="19">
        <f t="shared" si="54"/>
        <v>0</v>
      </c>
      <c r="Z47" s="19">
        <f t="shared" si="54"/>
        <v>0</v>
      </c>
      <c r="AA47" s="19">
        <f t="shared" si="54"/>
        <v>0</v>
      </c>
      <c r="AB47" s="19">
        <f t="shared" si="54"/>
        <v>0</v>
      </c>
      <c r="AC47" s="19">
        <f t="shared" si="54"/>
        <v>0</v>
      </c>
      <c r="AD47" s="19">
        <f t="shared" si="54"/>
        <v>0</v>
      </c>
      <c r="AE47" s="19">
        <f t="shared" si="54"/>
        <v>0</v>
      </c>
      <c r="AF47" s="19">
        <f t="shared" si="54"/>
        <v>0</v>
      </c>
      <c r="AG47" s="19">
        <f t="shared" si="54"/>
        <v>0</v>
      </c>
      <c r="AH47" s="19">
        <f t="shared" si="54"/>
        <v>0</v>
      </c>
      <c r="AI47" s="19">
        <f t="shared" si="54"/>
        <v>0</v>
      </c>
      <c r="AJ47" s="19">
        <f t="shared" si="54"/>
        <v>0</v>
      </c>
      <c r="AK47" s="19">
        <f t="shared" si="54"/>
        <v>0</v>
      </c>
      <c r="AL47" s="19">
        <f t="shared" si="54"/>
        <v>0</v>
      </c>
      <c r="AM47" s="19">
        <f t="shared" ref="AM47" si="55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6">SUM(D50, D49 + D48)</f>
        <v>0</v>
      </c>
      <c r="E51" s="19">
        <f t="shared" ref="E51:AL51" si="57">SUM(E50, E49 + E48)</f>
        <v>0</v>
      </c>
      <c r="F51" s="19">
        <f t="shared" si="57"/>
        <v>0</v>
      </c>
      <c r="G51" s="19">
        <f t="shared" si="57"/>
        <v>0</v>
      </c>
      <c r="H51" s="19">
        <f t="shared" si="57"/>
        <v>0</v>
      </c>
      <c r="I51" s="19">
        <f t="shared" si="57"/>
        <v>0</v>
      </c>
      <c r="J51" s="19">
        <f t="shared" si="57"/>
        <v>0</v>
      </c>
      <c r="K51" s="19">
        <f t="shared" si="57"/>
        <v>0</v>
      </c>
      <c r="L51" s="19">
        <f t="shared" si="57"/>
        <v>0</v>
      </c>
      <c r="M51" s="19">
        <f t="shared" si="57"/>
        <v>0</v>
      </c>
      <c r="N51" s="19">
        <f t="shared" si="57"/>
        <v>0</v>
      </c>
      <c r="O51" s="19">
        <f t="shared" si="57"/>
        <v>0</v>
      </c>
      <c r="P51" s="19">
        <f t="shared" si="57"/>
        <v>0</v>
      </c>
      <c r="Q51" s="19">
        <f t="shared" si="57"/>
        <v>0</v>
      </c>
      <c r="R51" s="19">
        <f t="shared" si="57"/>
        <v>0</v>
      </c>
      <c r="S51" s="19">
        <f t="shared" si="57"/>
        <v>0</v>
      </c>
      <c r="T51" s="19">
        <f t="shared" si="57"/>
        <v>0</v>
      </c>
      <c r="U51" s="19">
        <f t="shared" si="57"/>
        <v>0</v>
      </c>
      <c r="V51" s="19">
        <f t="shared" si="57"/>
        <v>0</v>
      </c>
      <c r="W51" s="19">
        <f t="shared" si="57"/>
        <v>0</v>
      </c>
      <c r="X51" s="19">
        <f t="shared" si="57"/>
        <v>0</v>
      </c>
      <c r="Y51" s="19">
        <f t="shared" si="57"/>
        <v>0</v>
      </c>
      <c r="Z51" s="19">
        <f t="shared" si="57"/>
        <v>0</v>
      </c>
      <c r="AA51" s="19">
        <f t="shared" si="57"/>
        <v>0</v>
      </c>
      <c r="AB51" s="19">
        <f t="shared" si="57"/>
        <v>0</v>
      </c>
      <c r="AC51" s="19">
        <f t="shared" si="57"/>
        <v>0</v>
      </c>
      <c r="AD51" s="19">
        <f t="shared" si="57"/>
        <v>0</v>
      </c>
      <c r="AE51" s="19">
        <f t="shared" si="57"/>
        <v>0</v>
      </c>
      <c r="AF51" s="19">
        <f t="shared" si="57"/>
        <v>0</v>
      </c>
      <c r="AG51" s="19">
        <f t="shared" si="57"/>
        <v>0</v>
      </c>
      <c r="AH51" s="19">
        <f t="shared" si="57"/>
        <v>0</v>
      </c>
      <c r="AI51" s="19">
        <f t="shared" si="57"/>
        <v>0</v>
      </c>
      <c r="AJ51" s="19">
        <f t="shared" si="57"/>
        <v>0</v>
      </c>
      <c r="AK51" s="19">
        <f t="shared" si="57"/>
        <v>0</v>
      </c>
      <c r="AL51" s="19">
        <f t="shared" si="57"/>
        <v>0</v>
      </c>
      <c r="AM51" s="19">
        <f t="shared" si="56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8">D47-D51</f>
        <v>0</v>
      </c>
      <c r="E52" s="23">
        <f t="shared" ref="E52:AL52" si="59">E47-E51</f>
        <v>0</v>
      </c>
      <c r="F52" s="23">
        <f t="shared" si="59"/>
        <v>0</v>
      </c>
      <c r="G52" s="23">
        <f t="shared" si="59"/>
        <v>0</v>
      </c>
      <c r="H52" s="23">
        <f t="shared" si="59"/>
        <v>0</v>
      </c>
      <c r="I52" s="23">
        <f t="shared" si="59"/>
        <v>0</v>
      </c>
      <c r="J52" s="23">
        <f t="shared" si="59"/>
        <v>0</v>
      </c>
      <c r="K52" s="23">
        <f t="shared" si="59"/>
        <v>0</v>
      </c>
      <c r="L52" s="23">
        <f t="shared" si="59"/>
        <v>0</v>
      </c>
      <c r="M52" s="23">
        <f t="shared" si="59"/>
        <v>0</v>
      </c>
      <c r="N52" s="23">
        <f t="shared" si="59"/>
        <v>0</v>
      </c>
      <c r="O52" s="23">
        <f t="shared" si="59"/>
        <v>0</v>
      </c>
      <c r="P52" s="23">
        <f t="shared" si="59"/>
        <v>0</v>
      </c>
      <c r="Q52" s="23">
        <f t="shared" si="59"/>
        <v>0</v>
      </c>
      <c r="R52" s="23">
        <f t="shared" si="59"/>
        <v>0</v>
      </c>
      <c r="S52" s="23">
        <f t="shared" si="59"/>
        <v>0</v>
      </c>
      <c r="T52" s="23">
        <f t="shared" si="59"/>
        <v>0</v>
      </c>
      <c r="U52" s="23">
        <f t="shared" si="59"/>
        <v>0</v>
      </c>
      <c r="V52" s="23">
        <f t="shared" si="59"/>
        <v>0</v>
      </c>
      <c r="W52" s="23">
        <f t="shared" si="59"/>
        <v>0</v>
      </c>
      <c r="X52" s="23">
        <f t="shared" si="59"/>
        <v>0</v>
      </c>
      <c r="Y52" s="23">
        <f t="shared" si="59"/>
        <v>0</v>
      </c>
      <c r="Z52" s="23">
        <f t="shared" si="59"/>
        <v>0</v>
      </c>
      <c r="AA52" s="23">
        <f t="shared" si="59"/>
        <v>0</v>
      </c>
      <c r="AB52" s="23">
        <f t="shared" si="59"/>
        <v>0</v>
      </c>
      <c r="AC52" s="23">
        <f t="shared" si="59"/>
        <v>0</v>
      </c>
      <c r="AD52" s="23">
        <f t="shared" si="59"/>
        <v>0</v>
      </c>
      <c r="AE52" s="23">
        <f t="shared" si="59"/>
        <v>0</v>
      </c>
      <c r="AF52" s="23">
        <f t="shared" si="59"/>
        <v>0</v>
      </c>
      <c r="AG52" s="23">
        <f t="shared" si="59"/>
        <v>0</v>
      </c>
      <c r="AH52" s="23">
        <f t="shared" si="59"/>
        <v>0</v>
      </c>
      <c r="AI52" s="23">
        <f t="shared" si="59"/>
        <v>0</v>
      </c>
      <c r="AJ52" s="23">
        <f t="shared" si="59"/>
        <v>0</v>
      </c>
      <c r="AK52" s="23">
        <f t="shared" si="59"/>
        <v>0</v>
      </c>
      <c r="AL52" s="23">
        <f t="shared" si="59"/>
        <v>0</v>
      </c>
      <c r="AM52" s="23">
        <f t="shared" si="58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0">D44+D52</f>
        <v>-23775.375</v>
      </c>
      <c r="E53" s="23">
        <f t="shared" ref="E53:AL53" si="61">E44+E52</f>
        <v>-24495.39</v>
      </c>
      <c r="F53" s="23">
        <f t="shared" si="61"/>
        <v>-24659.0756</v>
      </c>
      <c r="G53" s="23">
        <f t="shared" si="61"/>
        <v>-24442.564491999998</v>
      </c>
      <c r="H53" s="23">
        <f t="shared" si="61"/>
        <v>-24943.378158680003</v>
      </c>
      <c r="I53" s="23">
        <f t="shared" si="61"/>
        <v>-25698.495377777206</v>
      </c>
      <c r="J53" s="23">
        <f t="shared" si="61"/>
        <v>-25421.109896253791</v>
      </c>
      <c r="K53" s="23">
        <f t="shared" si="61"/>
        <v>-26211.061031073416</v>
      </c>
      <c r="L53" s="23">
        <f t="shared" si="61"/>
        <v>-27030.471837018038</v>
      </c>
      <c r="M53" s="23">
        <f t="shared" si="61"/>
        <v>-27038.76678207529</v>
      </c>
      <c r="N53" s="23">
        <f t="shared" si="61"/>
        <v>-26406.649852402774</v>
      </c>
      <c r="O53" s="23">
        <f t="shared" si="61"/>
        <v>-25877.989897642678</v>
      </c>
      <c r="P53" s="23">
        <f t="shared" si="61"/>
        <v>-26699.181872506502</v>
      </c>
      <c r="Q53" s="23">
        <f t="shared" si="61"/>
        <v>-27373.636987271526</v>
      </c>
      <c r="R53" s="23">
        <f t="shared" si="61"/>
        <v>-26772.953802120763</v>
      </c>
      <c r="S53" s="23">
        <f t="shared" si="61"/>
        <v>-27634.727499186909</v>
      </c>
      <c r="T53" s="23">
        <f t="shared" si="61"/>
        <v>-28359.659329188245</v>
      </c>
      <c r="U53" s="23">
        <f t="shared" si="61"/>
        <v>-29289.061416343837</v>
      </c>
      <c r="V53" s="23">
        <f t="shared" si="61"/>
        <v>-28149.258887840751</v>
      </c>
      <c r="W53" s="23">
        <f t="shared" si="61"/>
        <v>-28522.99967512365</v>
      </c>
      <c r="X53" s="23">
        <f t="shared" si="61"/>
        <v>-29259.195941127575</v>
      </c>
      <c r="Y53" s="23">
        <f t="shared" si="61"/>
        <v>-29127.894459914602</v>
      </c>
      <c r="Z53" s="23">
        <f t="shared" si="61"/>
        <v>-30105.551864309833</v>
      </c>
      <c r="AA53" s="23">
        <f t="shared" si="61"/>
        <v>-31123.314406750203</v>
      </c>
      <c r="AB53" s="23">
        <f t="shared" si="61"/>
        <v>-31623.589960793786</v>
      </c>
      <c r="AC53" s="23">
        <f t="shared" si="61"/>
        <v>-30095.02900024355</v>
      </c>
      <c r="AD53" s="23">
        <f t="shared" si="61"/>
        <v>-30974.520132259226</v>
      </c>
      <c r="AE53" s="23">
        <f t="shared" si="61"/>
        <v>-31814.118455105563</v>
      </c>
      <c r="AF53" s="23">
        <f t="shared" si="61"/>
        <v>-32920.35109697091</v>
      </c>
      <c r="AG53" s="23">
        <f t="shared" si="61"/>
        <v>-32554.092857882919</v>
      </c>
      <c r="AH53" s="23">
        <f t="shared" si="61"/>
        <v>-33479.998083126055</v>
      </c>
      <c r="AI53" s="23">
        <f t="shared" si="61"/>
        <v>-33617.728472139126</v>
      </c>
      <c r="AJ53" s="23">
        <f t="shared" si="61"/>
        <v>-33883.900642451139</v>
      </c>
      <c r="AK53" s="23">
        <f t="shared" si="61"/>
        <v>-35094.97265249653</v>
      </c>
      <c r="AL53" s="23">
        <f t="shared" si="61"/>
        <v>-35210.143805465086</v>
      </c>
      <c r="AM53" s="23">
        <f t="shared" si="60"/>
        <v>-35823.788072311167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F83F7AA-E12D-4B13-BD8E-EE91D2A156BC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3E6-C076-43FF-BD0A-4D8A0686820E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55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1500</v>
      </c>
      <c r="E16" s="18">
        <v>1545</v>
      </c>
      <c r="F16" s="18">
        <v>1591.3500000000001</v>
      </c>
      <c r="G16" s="18">
        <v>1639.0905000000002</v>
      </c>
      <c r="H16" s="18">
        <v>1688.2632150000004</v>
      </c>
      <c r="I16" s="18">
        <v>1738.9111114500004</v>
      </c>
      <c r="J16" s="18">
        <f>I16*(0.9)</f>
        <v>1565.0200003050004</v>
      </c>
      <c r="K16" s="18">
        <v>1611.9706003141505</v>
      </c>
      <c r="L16" s="18">
        <v>1660.329718323575</v>
      </c>
      <c r="M16" s="18">
        <v>1710.1396098732823</v>
      </c>
      <c r="N16" s="18">
        <v>1761.4437981694809</v>
      </c>
      <c r="O16" s="18">
        <v>1814.2871121145654</v>
      </c>
      <c r="P16" s="18">
        <v>1868.7157254780025</v>
      </c>
      <c r="Q16" s="18">
        <v>1924.7771972423425</v>
      </c>
      <c r="R16" s="18">
        <v>1982.5205131596128</v>
      </c>
      <c r="S16" s="18">
        <v>2041.9961285544014</v>
      </c>
      <c r="T16" s="18">
        <v>2103.2560124110337</v>
      </c>
      <c r="U16" s="18">
        <v>2166.3536927833647</v>
      </c>
      <c r="V16" s="18">
        <v>2231.3443035668656</v>
      </c>
      <c r="W16" s="18">
        <f>V16*(0.9)</f>
        <v>2008.209873210179</v>
      </c>
      <c r="X16" s="18">
        <v>2068.4561694064846</v>
      </c>
      <c r="Y16" s="18">
        <v>2130.5098544886791</v>
      </c>
      <c r="Z16" s="18">
        <v>2194.4251501233398</v>
      </c>
      <c r="AA16" s="18">
        <v>2260.2579046270403</v>
      </c>
      <c r="AB16" s="18">
        <v>2328.0656417658515</v>
      </c>
      <c r="AC16" s="18">
        <v>2397.9076110188271</v>
      </c>
      <c r="AD16" s="18">
        <v>2469.8448393493918</v>
      </c>
      <c r="AE16" s="18">
        <f>AD16*(0.9)</f>
        <v>2222.8603554144529</v>
      </c>
      <c r="AF16" s="18">
        <v>2289.5461660768865</v>
      </c>
      <c r="AG16" s="18">
        <v>2358.2325510591932</v>
      </c>
      <c r="AH16" s="18">
        <v>2428.9795275909692</v>
      </c>
      <c r="AI16" s="18">
        <v>2501.8489134186984</v>
      </c>
      <c r="AJ16" s="18">
        <v>2576.9043808212596</v>
      </c>
      <c r="AK16" s="18">
        <v>2654.2115122458972</v>
      </c>
      <c r="AL16" s="18">
        <f>AK16*(0.9)</f>
        <v>2388.7903610213075</v>
      </c>
      <c r="AM16" s="18">
        <v>2460.454071851947</v>
      </c>
    </row>
    <row r="17" spans="2:39" s="17" customFormat="1" ht="21" customHeight="1" x14ac:dyDescent="0.3">
      <c r="B17" s="4" t="s">
        <v>15</v>
      </c>
      <c r="C17" s="15"/>
      <c r="D17" s="18">
        <v>4500</v>
      </c>
      <c r="E17" s="18">
        <v>4590</v>
      </c>
      <c r="F17" s="18">
        <v>4681.8</v>
      </c>
      <c r="G17" s="18">
        <f>F17*(0.7)</f>
        <v>3277.2599999999998</v>
      </c>
      <c r="H17" s="18">
        <v>3342.8051999999998</v>
      </c>
      <c r="I17" s="18">
        <v>3409.6613039999997</v>
      </c>
      <c r="J17" s="18">
        <v>3477.8545300799997</v>
      </c>
      <c r="K17" s="18">
        <v>3547.4116206815997</v>
      </c>
      <c r="L17" s="18">
        <v>3618.3598530952318</v>
      </c>
      <c r="M17" s="18">
        <v>3690.7270501571365</v>
      </c>
      <c r="N17" s="18">
        <v>3764.5415911602795</v>
      </c>
      <c r="O17" s="18">
        <v>3839.8324229834852</v>
      </c>
      <c r="P17" s="18">
        <v>3916.6290714431552</v>
      </c>
      <c r="Q17" s="18">
        <v>3994.9616528720185</v>
      </c>
      <c r="R17" s="18">
        <f>Q17*(0.7)</f>
        <v>2796.4731570104127</v>
      </c>
      <c r="S17" s="18">
        <v>2852.4026201506208</v>
      </c>
      <c r="T17" s="18">
        <v>2909.4506725536335</v>
      </c>
      <c r="U17" s="18">
        <v>2967.6396860047062</v>
      </c>
      <c r="V17" s="18">
        <v>3026.9924797248004</v>
      </c>
      <c r="W17" s="18">
        <v>3087.5323293192964</v>
      </c>
      <c r="X17" s="18">
        <v>3149.2829759056826</v>
      </c>
      <c r="Y17" s="18">
        <v>3212.2686354237962</v>
      </c>
      <c r="Z17" s="18">
        <v>3276.514008132272</v>
      </c>
      <c r="AA17" s="18">
        <v>3342.0442882949174</v>
      </c>
      <c r="AB17" s="18">
        <f>AA17*(0.7)</f>
        <v>2339.4310018064421</v>
      </c>
      <c r="AC17" s="18">
        <v>2386.2196218425711</v>
      </c>
      <c r="AD17" s="18">
        <v>2433.9440142794224</v>
      </c>
      <c r="AE17" s="18">
        <v>2482.6228945650109</v>
      </c>
      <c r="AF17" s="18">
        <v>2532.2753524563113</v>
      </c>
      <c r="AG17" s="18">
        <v>2582.9208595054374</v>
      </c>
      <c r="AH17" s="18">
        <v>2634.579276695546</v>
      </c>
      <c r="AI17" s="18">
        <v>2687.2708622294572</v>
      </c>
      <c r="AJ17" s="18">
        <f>AI17*(0.7)</f>
        <v>1881.0896035606199</v>
      </c>
      <c r="AK17" s="18">
        <v>1918.7113956318324</v>
      </c>
      <c r="AL17" s="18">
        <v>1957.0856235444689</v>
      </c>
      <c r="AM17" s="18">
        <v>1996.2273360153583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v>882</v>
      </c>
      <c r="G20" s="18">
        <v>926.1</v>
      </c>
      <c r="H20" s="18">
        <v>972.40500000000009</v>
      </c>
      <c r="I20" s="18">
        <v>1021.0252500000001</v>
      </c>
      <c r="J20" s="18">
        <v>1072.0765125000003</v>
      </c>
      <c r="K20" s="18">
        <v>1125.6803381250004</v>
      </c>
      <c r="L20" s="18">
        <v>1181.9643550312505</v>
      </c>
      <c r="M20" s="18">
        <v>1241.062572782813</v>
      </c>
      <c r="N20" s="18">
        <v>1303.1157014219536</v>
      </c>
      <c r="O20" s="18">
        <v>1368.2714864930515</v>
      </c>
      <c r="P20" s="18">
        <v>1436.6850608177042</v>
      </c>
      <c r="Q20" s="18">
        <v>1508.5193138585894</v>
      </c>
      <c r="R20" s="18">
        <v>1583.945279551519</v>
      </c>
      <c r="S20" s="18">
        <v>1663.1425435290951</v>
      </c>
      <c r="T20" s="18">
        <v>1746.2996707055499</v>
      </c>
      <c r="U20" s="18">
        <v>1833.6146542408276</v>
      </c>
      <c r="V20" s="18">
        <v>1925.295386952869</v>
      </c>
      <c r="W20" s="18">
        <v>2021.5601563005125</v>
      </c>
      <c r="X20" s="18">
        <v>2122.6381641155381</v>
      </c>
      <c r="Y20" s="18">
        <v>2228.7700723213152</v>
      </c>
      <c r="Z20" s="18">
        <v>2340.2085759373808</v>
      </c>
      <c r="AA20" s="18">
        <v>2457.2190047342501</v>
      </c>
      <c r="AB20" s="18">
        <v>2580.0799549709627</v>
      </c>
      <c r="AC20" s="18">
        <v>2709.0839527195108</v>
      </c>
      <c r="AD20" s="18">
        <v>2844.5381503554863</v>
      </c>
      <c r="AE20" s="18">
        <v>2986.765057873261</v>
      </c>
      <c r="AF20" s="18">
        <v>3136.1033107669241</v>
      </c>
      <c r="AG20" s="18">
        <v>3292.9084763052706</v>
      </c>
      <c r="AH20" s="18">
        <v>3457.5539001205343</v>
      </c>
      <c r="AI20" s="18">
        <v>3630.4315951265612</v>
      </c>
      <c r="AJ20" s="18">
        <v>3811.9531748828895</v>
      </c>
      <c r="AK20" s="18">
        <v>4002.5508336270341</v>
      </c>
      <c r="AL20" s="18">
        <v>4202.6783753083855</v>
      </c>
      <c r="AM20" s="18">
        <v>4412.8122940738049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1">SUM(D22, D21, D20 + D19)</f>
        <v>800</v>
      </c>
      <c r="E23" s="19">
        <f t="shared" ref="E23:AL23" si="42">SUM(E22, E21, E20 + E19)</f>
        <v>840</v>
      </c>
      <c r="F23" s="19">
        <f t="shared" si="42"/>
        <v>882</v>
      </c>
      <c r="G23" s="19">
        <f t="shared" si="42"/>
        <v>926.1</v>
      </c>
      <c r="H23" s="19">
        <f t="shared" si="42"/>
        <v>972.40500000000009</v>
      </c>
      <c r="I23" s="19">
        <f t="shared" si="42"/>
        <v>1021.0252500000001</v>
      </c>
      <c r="J23" s="19">
        <f t="shared" si="42"/>
        <v>1072.0765125000003</v>
      </c>
      <c r="K23" s="19">
        <f t="shared" si="42"/>
        <v>1125.6803381250004</v>
      </c>
      <c r="L23" s="19">
        <f t="shared" si="42"/>
        <v>1181.9643550312505</v>
      </c>
      <c r="M23" s="19">
        <f t="shared" si="42"/>
        <v>1241.062572782813</v>
      </c>
      <c r="N23" s="19">
        <f t="shared" si="42"/>
        <v>1303.1157014219536</v>
      </c>
      <c r="O23" s="19">
        <f t="shared" si="42"/>
        <v>1368.2714864930515</v>
      </c>
      <c r="P23" s="19">
        <f t="shared" si="42"/>
        <v>1436.6850608177042</v>
      </c>
      <c r="Q23" s="19">
        <f t="shared" si="42"/>
        <v>1508.5193138585894</v>
      </c>
      <c r="R23" s="19">
        <f t="shared" si="42"/>
        <v>1583.945279551519</v>
      </c>
      <c r="S23" s="19">
        <f t="shared" si="42"/>
        <v>1663.1425435290951</v>
      </c>
      <c r="T23" s="19">
        <f t="shared" si="42"/>
        <v>1746.2996707055499</v>
      </c>
      <c r="U23" s="19">
        <f t="shared" si="42"/>
        <v>1833.6146542408276</v>
      </c>
      <c r="V23" s="19">
        <f t="shared" si="42"/>
        <v>1925.295386952869</v>
      </c>
      <c r="W23" s="19">
        <f t="shared" si="42"/>
        <v>2021.5601563005125</v>
      </c>
      <c r="X23" s="19">
        <f t="shared" si="42"/>
        <v>2122.6381641155381</v>
      </c>
      <c r="Y23" s="19">
        <f t="shared" si="42"/>
        <v>2228.7700723213152</v>
      </c>
      <c r="Z23" s="19">
        <f t="shared" si="42"/>
        <v>2340.2085759373808</v>
      </c>
      <c r="AA23" s="19">
        <f t="shared" si="42"/>
        <v>2457.2190047342501</v>
      </c>
      <c r="AB23" s="19">
        <f t="shared" si="42"/>
        <v>2580.0799549709627</v>
      </c>
      <c r="AC23" s="19">
        <f t="shared" si="42"/>
        <v>2709.0839527195108</v>
      </c>
      <c r="AD23" s="19">
        <f t="shared" si="42"/>
        <v>2844.5381503554863</v>
      </c>
      <c r="AE23" s="19">
        <f t="shared" si="42"/>
        <v>2986.765057873261</v>
      </c>
      <c r="AF23" s="19">
        <f t="shared" si="42"/>
        <v>3136.1033107669241</v>
      </c>
      <c r="AG23" s="19">
        <f t="shared" si="42"/>
        <v>3292.9084763052706</v>
      </c>
      <c r="AH23" s="19">
        <f t="shared" si="42"/>
        <v>3457.5539001205343</v>
      </c>
      <c r="AI23" s="19">
        <f t="shared" si="42"/>
        <v>3630.4315951265612</v>
      </c>
      <c r="AJ23" s="19">
        <f t="shared" si="42"/>
        <v>3811.9531748828895</v>
      </c>
      <c r="AK23" s="19">
        <f t="shared" si="42"/>
        <v>4002.5508336270341</v>
      </c>
      <c r="AL23" s="19">
        <f t="shared" si="42"/>
        <v>4202.6783753083855</v>
      </c>
      <c r="AM23" s="19">
        <f t="shared" si="41"/>
        <v>4412.8122940738049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600</v>
      </c>
      <c r="E28" s="18">
        <v>648</v>
      </c>
      <c r="F28" s="18">
        <v>699.84</v>
      </c>
      <c r="G28" s="18">
        <v>755.82720000000006</v>
      </c>
      <c r="H28" s="18">
        <v>816.29337600000008</v>
      </c>
      <c r="I28" s="18">
        <v>881.59684608000009</v>
      </c>
      <c r="J28" s="18">
        <v>952.12459376640015</v>
      </c>
      <c r="K28" s="18">
        <v>1028.2945612677122</v>
      </c>
      <c r="L28" s="18">
        <v>1110.5581261691293</v>
      </c>
      <c r="M28" s="18">
        <v>1199.4027762626597</v>
      </c>
      <c r="N28" s="18">
        <v>1295.3549983636726</v>
      </c>
      <c r="O28" s="18">
        <v>1398.9833982327666</v>
      </c>
      <c r="P28" s="18">
        <v>1510.9020700913879</v>
      </c>
      <c r="Q28" s="18">
        <v>1631.7742356986992</v>
      </c>
      <c r="R28" s="18">
        <v>1762.3161745545951</v>
      </c>
      <c r="S28" s="18">
        <v>1903.3014685189628</v>
      </c>
      <c r="T28" s="18">
        <v>2055.5655860004799</v>
      </c>
      <c r="U28" s="18">
        <v>2220.0108328805186</v>
      </c>
      <c r="V28" s="18">
        <v>2397.6116995109601</v>
      </c>
      <c r="W28" s="18">
        <v>2589.4206354718372</v>
      </c>
      <c r="X28" s="18">
        <v>2796.5742863095843</v>
      </c>
      <c r="Y28" s="18">
        <v>3020.300229214351</v>
      </c>
      <c r="Z28" s="18">
        <v>3261.9242475514993</v>
      </c>
      <c r="AA28" s="18">
        <v>3522.8781873556195</v>
      </c>
      <c r="AB28" s="18">
        <v>3804.7084423440692</v>
      </c>
      <c r="AC28" s="18">
        <v>4109.0851177315953</v>
      </c>
      <c r="AD28" s="18">
        <v>4437.8119271501237</v>
      </c>
      <c r="AE28" s="18">
        <v>4792.8368813221341</v>
      </c>
      <c r="AF28" s="18">
        <v>5176.2638318279051</v>
      </c>
      <c r="AG28" s="18">
        <v>5590.3649383741376</v>
      </c>
      <c r="AH28" s="18">
        <v>6037.5941334440695</v>
      </c>
      <c r="AI28" s="18">
        <v>6520.6016641195956</v>
      </c>
      <c r="AJ28" s="18">
        <v>7042.2497972491637</v>
      </c>
      <c r="AK28" s="18">
        <v>7605.6297810290971</v>
      </c>
      <c r="AL28" s="18">
        <v>8214.0801635114258</v>
      </c>
      <c r="AM28" s="18">
        <v>8871.2065765923398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3">SUM(D28, D27, D26, D25 + D24)</f>
        <v>600</v>
      </c>
      <c r="E29" s="19">
        <f t="shared" ref="E29:AL29" si="44">SUM(E28, E27, E26, E25 + E24)</f>
        <v>648</v>
      </c>
      <c r="F29" s="19">
        <f t="shared" si="44"/>
        <v>699.84</v>
      </c>
      <c r="G29" s="19">
        <f t="shared" si="44"/>
        <v>755.82720000000006</v>
      </c>
      <c r="H29" s="19">
        <f t="shared" si="44"/>
        <v>816.29337600000008</v>
      </c>
      <c r="I29" s="19">
        <f t="shared" si="44"/>
        <v>881.59684608000009</v>
      </c>
      <c r="J29" s="19">
        <f t="shared" si="44"/>
        <v>952.12459376640015</v>
      </c>
      <c r="K29" s="19">
        <f t="shared" si="44"/>
        <v>1028.2945612677122</v>
      </c>
      <c r="L29" s="19">
        <f t="shared" si="44"/>
        <v>1110.5581261691293</v>
      </c>
      <c r="M29" s="19">
        <f t="shared" si="44"/>
        <v>1199.4027762626597</v>
      </c>
      <c r="N29" s="19">
        <f t="shared" si="44"/>
        <v>1295.3549983636726</v>
      </c>
      <c r="O29" s="19">
        <f t="shared" si="44"/>
        <v>1398.9833982327666</v>
      </c>
      <c r="P29" s="19">
        <f t="shared" si="44"/>
        <v>1510.9020700913879</v>
      </c>
      <c r="Q29" s="19">
        <f t="shared" si="44"/>
        <v>1631.7742356986992</v>
      </c>
      <c r="R29" s="19">
        <f t="shared" si="44"/>
        <v>1762.3161745545951</v>
      </c>
      <c r="S29" s="19">
        <f t="shared" si="44"/>
        <v>1903.3014685189628</v>
      </c>
      <c r="T29" s="19">
        <f t="shared" si="44"/>
        <v>2055.5655860004799</v>
      </c>
      <c r="U29" s="19">
        <f t="shared" si="44"/>
        <v>2220.0108328805186</v>
      </c>
      <c r="V29" s="19">
        <f t="shared" si="44"/>
        <v>2397.6116995109601</v>
      </c>
      <c r="W29" s="19">
        <f t="shared" si="44"/>
        <v>2589.4206354718372</v>
      </c>
      <c r="X29" s="19">
        <f t="shared" si="44"/>
        <v>2796.5742863095843</v>
      </c>
      <c r="Y29" s="19">
        <f t="shared" si="44"/>
        <v>3020.300229214351</v>
      </c>
      <c r="Z29" s="19">
        <f t="shared" si="44"/>
        <v>3261.9242475514993</v>
      </c>
      <c r="AA29" s="19">
        <f t="shared" si="44"/>
        <v>3522.8781873556195</v>
      </c>
      <c r="AB29" s="19">
        <f t="shared" si="44"/>
        <v>3804.7084423440692</v>
      </c>
      <c r="AC29" s="19">
        <f t="shared" si="44"/>
        <v>4109.0851177315953</v>
      </c>
      <c r="AD29" s="19">
        <f t="shared" si="44"/>
        <v>4437.8119271501237</v>
      </c>
      <c r="AE29" s="19">
        <f t="shared" si="44"/>
        <v>4792.8368813221341</v>
      </c>
      <c r="AF29" s="19">
        <f t="shared" si="44"/>
        <v>5176.2638318279051</v>
      </c>
      <c r="AG29" s="19">
        <f t="shared" si="44"/>
        <v>5590.3649383741376</v>
      </c>
      <c r="AH29" s="19">
        <f t="shared" si="44"/>
        <v>6037.5941334440695</v>
      </c>
      <c r="AI29" s="19">
        <f t="shared" si="44"/>
        <v>6520.6016641195956</v>
      </c>
      <c r="AJ29" s="19">
        <f t="shared" si="44"/>
        <v>7042.2497972491637</v>
      </c>
      <c r="AK29" s="19">
        <f t="shared" si="44"/>
        <v>7605.6297810290971</v>
      </c>
      <c r="AL29" s="19">
        <f t="shared" si="44"/>
        <v>8214.0801635114258</v>
      </c>
      <c r="AM29" s="19">
        <f t="shared" si="43"/>
        <v>8871.2065765923398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6000</v>
      </c>
      <c r="E31" s="18">
        <v>6420</v>
      </c>
      <c r="F31" s="18">
        <v>6869.4000000000005</v>
      </c>
      <c r="G31" s="18">
        <v>7350.2580000000007</v>
      </c>
      <c r="H31" s="18">
        <f>G31*(0.7)</f>
        <v>5145.1806000000006</v>
      </c>
      <c r="I31" s="18">
        <v>5505.3432420000008</v>
      </c>
      <c r="J31" s="18">
        <v>5890.7172689400013</v>
      </c>
      <c r="K31" s="18">
        <v>6303.0674777658014</v>
      </c>
      <c r="L31" s="18">
        <v>6744.2822012094075</v>
      </c>
      <c r="M31" s="18">
        <v>7216.3819552940668</v>
      </c>
      <c r="N31" s="18">
        <v>7721.5286921646521</v>
      </c>
      <c r="O31" s="18">
        <v>8262.0357006161776</v>
      </c>
      <c r="P31" s="18">
        <v>8840.3781996593098</v>
      </c>
      <c r="Q31" s="18">
        <v>9459.2046736354623</v>
      </c>
      <c r="R31" s="18">
        <v>10121.349000789945</v>
      </c>
      <c r="S31" s="18">
        <v>10829.843430845242</v>
      </c>
      <c r="T31" s="18">
        <v>11587.932471004409</v>
      </c>
      <c r="U31" s="18">
        <f>T31*(0.7)</f>
        <v>8111.5527297030858</v>
      </c>
      <c r="V31" s="18">
        <v>8679.361420782303</v>
      </c>
      <c r="W31" s="18">
        <v>9286.9167202370645</v>
      </c>
      <c r="X31" s="18">
        <v>9937.0008906536605</v>
      </c>
      <c r="Y31" s="18">
        <v>10632.590952999417</v>
      </c>
      <c r="Z31" s="18">
        <v>11376.872319709377</v>
      </c>
      <c r="AA31" s="18">
        <v>12173.253382089033</v>
      </c>
      <c r="AB31" s="18">
        <f t="shared" ref="AB31:AC31" si="45">AA31*(0.7)</f>
        <v>8521.2773674623222</v>
      </c>
      <c r="AC31" s="18">
        <f t="shared" si="45"/>
        <v>5964.8941572236254</v>
      </c>
      <c r="AD31" s="18">
        <v>6382.4367482292791</v>
      </c>
      <c r="AE31" s="18">
        <v>6829.2073206053292</v>
      </c>
      <c r="AF31" s="18">
        <v>7307.2518330477023</v>
      </c>
      <c r="AG31" s="18">
        <v>7818.7594613610418</v>
      </c>
      <c r="AH31" s="18">
        <v>8366.072623656315</v>
      </c>
      <c r="AI31" s="18">
        <v>8951.697707312258</v>
      </c>
      <c r="AJ31" s="18">
        <v>9578.3165468241168</v>
      </c>
      <c r="AK31" s="18">
        <f>AJ31*(0.7)</f>
        <v>6704.8215827768818</v>
      </c>
      <c r="AL31" s="18">
        <v>7174.1590935712638</v>
      </c>
      <c r="AM31" s="18">
        <v>7676.3502301212529</v>
      </c>
    </row>
    <row r="32" spans="2:39" s="17" customFormat="1" ht="21" customHeight="1" x14ac:dyDescent="0.3">
      <c r="B32" s="7" t="s">
        <v>30</v>
      </c>
      <c r="C32" s="15"/>
      <c r="D32" s="18">
        <f>D31*0.1</f>
        <v>600</v>
      </c>
      <c r="E32" s="18">
        <v>624</v>
      </c>
      <c r="F32" s="18">
        <v>648.96</v>
      </c>
      <c r="G32" s="18">
        <v>674.91840000000002</v>
      </c>
      <c r="H32" s="18">
        <v>701.91513600000008</v>
      </c>
      <c r="I32" s="18">
        <v>729.99174144000006</v>
      </c>
      <c r="J32" s="18">
        <v>759.19141109760005</v>
      </c>
      <c r="K32" s="18">
        <v>789.55906754150408</v>
      </c>
      <c r="L32" s="18">
        <v>821.14143024316422</v>
      </c>
      <c r="M32" s="18">
        <v>853.98708745289082</v>
      </c>
      <c r="N32" s="18">
        <v>888.14657095100654</v>
      </c>
      <c r="O32" s="18">
        <v>923.67243378904686</v>
      </c>
      <c r="P32" s="18">
        <v>960.61933114060878</v>
      </c>
      <c r="Q32" s="18">
        <v>999.04410438623313</v>
      </c>
      <c r="R32" s="18">
        <v>1039.0058685616825</v>
      </c>
      <c r="S32" s="18">
        <v>1080.5661033041499</v>
      </c>
      <c r="T32" s="18">
        <v>1123.788747436316</v>
      </c>
      <c r="U32" s="18">
        <v>1168.7402973337687</v>
      </c>
      <c r="V32" s="18">
        <v>1215.4899092271196</v>
      </c>
      <c r="W32" s="18">
        <v>1264.1095055962044</v>
      </c>
      <c r="X32" s="18">
        <v>1314.6738858200526</v>
      </c>
      <c r="Y32" s="18">
        <v>1367.2608412528548</v>
      </c>
      <c r="Z32" s="18">
        <v>1421.9512749029691</v>
      </c>
      <c r="AA32" s="18">
        <v>1478.829325899088</v>
      </c>
      <c r="AB32" s="18">
        <v>1537.9824989350516</v>
      </c>
      <c r="AC32" s="18">
        <v>1599.5017988924537</v>
      </c>
      <c r="AD32" s="18">
        <v>1663.4818708481519</v>
      </c>
      <c r="AE32" s="18">
        <v>1730.021145682078</v>
      </c>
      <c r="AF32" s="18">
        <v>1799.2219915093613</v>
      </c>
      <c r="AG32" s="18">
        <v>1871.1908711697358</v>
      </c>
      <c r="AH32" s="18">
        <v>1946.0385060165254</v>
      </c>
      <c r="AI32" s="18">
        <v>2023.8800462571865</v>
      </c>
      <c r="AJ32" s="18">
        <v>2104.8352481074739</v>
      </c>
      <c r="AK32" s="18">
        <v>2189.0286580317729</v>
      </c>
      <c r="AL32" s="18">
        <v>2276.5898043530437</v>
      </c>
      <c r="AM32" s="18">
        <v>2367.6533965271656</v>
      </c>
    </row>
    <row r="33" spans="2:39" s="17" customFormat="1" ht="21" customHeight="1" x14ac:dyDescent="0.3">
      <c r="B33" s="7" t="s">
        <v>31</v>
      </c>
      <c r="C33" s="15"/>
      <c r="D33" s="18">
        <v>550</v>
      </c>
      <c r="E33" s="18">
        <v>572</v>
      </c>
      <c r="F33" s="18">
        <v>594.88</v>
      </c>
      <c r="G33" s="18">
        <v>618.67520000000002</v>
      </c>
      <c r="H33" s="18">
        <v>643.42220800000007</v>
      </c>
      <c r="I33" s="18">
        <v>669.15909632000012</v>
      </c>
      <c r="J33" s="18">
        <v>695.92546017280017</v>
      </c>
      <c r="K33" s="18">
        <v>723.76247857971225</v>
      </c>
      <c r="L33" s="18">
        <v>752.71297772290075</v>
      </c>
      <c r="M33" s="18">
        <v>782.82149683181683</v>
      </c>
      <c r="N33" s="18">
        <v>814.13435670508954</v>
      </c>
      <c r="O33" s="18">
        <v>846.69973097329319</v>
      </c>
      <c r="P33" s="18">
        <v>880.56772021222491</v>
      </c>
      <c r="Q33" s="18">
        <v>915.79042902071399</v>
      </c>
      <c r="R33" s="18">
        <v>952.42204618154256</v>
      </c>
      <c r="S33" s="18">
        <v>990.51892802880434</v>
      </c>
      <c r="T33" s="18">
        <v>1030.1396851499564</v>
      </c>
      <c r="U33" s="18">
        <v>1071.3452725559548</v>
      </c>
      <c r="V33" s="18">
        <v>1114.1990834581929</v>
      </c>
      <c r="W33" s="18">
        <v>1158.7670467965206</v>
      </c>
      <c r="X33" s="18">
        <v>1205.1177286683815</v>
      </c>
      <c r="Y33" s="18">
        <v>1253.3224378151167</v>
      </c>
      <c r="Z33" s="18">
        <v>1303.4553353277215</v>
      </c>
      <c r="AA33" s="18">
        <v>1355.5935487408303</v>
      </c>
      <c r="AB33" s="18">
        <v>1409.8172906904636</v>
      </c>
      <c r="AC33" s="18">
        <v>1466.2099823180822</v>
      </c>
      <c r="AD33" s="18">
        <v>1524.8583816108055</v>
      </c>
      <c r="AE33" s="18">
        <v>1585.8527168752378</v>
      </c>
      <c r="AF33" s="18">
        <v>1649.2868255502474</v>
      </c>
      <c r="AG33" s="18">
        <v>1715.2582985722574</v>
      </c>
      <c r="AH33" s="18">
        <v>1783.8686305151477</v>
      </c>
      <c r="AI33" s="18">
        <v>1855.2233757357537</v>
      </c>
      <c r="AJ33" s="18">
        <v>1929.432310765184</v>
      </c>
      <c r="AK33" s="18">
        <v>2006.6096031957914</v>
      </c>
      <c r="AL33" s="18">
        <v>2086.8739873236232</v>
      </c>
      <c r="AM33" s="18">
        <v>2170.3489468165681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6">SUM(D35, D34, D33, D32, D31 + D30)</f>
        <v>7207.375</v>
      </c>
      <c r="E36" s="19">
        <f t="shared" ref="E36:AL36" si="47">SUM(E35, E34, E33, E32, E31 + E30)</f>
        <v>7675.67</v>
      </c>
      <c r="F36" s="19">
        <f t="shared" si="47"/>
        <v>8175.2968000000001</v>
      </c>
      <c r="G36" s="19">
        <f t="shared" si="47"/>
        <v>8708.3906720000014</v>
      </c>
      <c r="H36" s="19">
        <f t="shared" si="47"/>
        <v>6557.6385788800008</v>
      </c>
      <c r="I36" s="19">
        <f t="shared" si="47"/>
        <v>6974.2995400352011</v>
      </c>
      <c r="J36" s="19">
        <f t="shared" si="47"/>
        <v>7418.4318188966099</v>
      </c>
      <c r="K36" s="19">
        <f t="shared" si="47"/>
        <v>7891.8906097206745</v>
      </c>
      <c r="L36" s="19">
        <f t="shared" si="47"/>
        <v>8396.6582584424759</v>
      </c>
      <c r="M36" s="19">
        <f t="shared" si="47"/>
        <v>8934.8530548164563</v>
      </c>
      <c r="N36" s="19">
        <f t="shared" si="47"/>
        <v>9508.7386356679381</v>
      </c>
      <c r="O36" s="19">
        <f t="shared" si="47"/>
        <v>10120.734041859596</v>
      </c>
      <c r="P36" s="19">
        <f t="shared" si="47"/>
        <v>10773.424474552465</v>
      </c>
      <c r="Q36" s="19">
        <f t="shared" si="47"/>
        <v>11469.572799524343</v>
      </c>
      <c r="R36" s="19">
        <f t="shared" si="47"/>
        <v>12212.131851714381</v>
      </c>
      <c r="S36" s="19">
        <f t="shared" si="47"/>
        <v>13004.257595806655</v>
      </c>
      <c r="T36" s="19">
        <f t="shared" si="47"/>
        <v>13849.323202564279</v>
      </c>
      <c r="U36" s="19">
        <f t="shared" si="47"/>
        <v>10463.39909052535</v>
      </c>
      <c r="V36" s="19">
        <f t="shared" si="47"/>
        <v>11125.28163603746</v>
      </c>
      <c r="W36" s="19">
        <f t="shared" si="47"/>
        <v>11830.673744102427</v>
      </c>
      <c r="X36" s="19">
        <f t="shared" si="47"/>
        <v>12582.508195473638</v>
      </c>
      <c r="Y36" s="19">
        <f t="shared" si="47"/>
        <v>13383.918550012193</v>
      </c>
      <c r="Z36" s="19">
        <f t="shared" si="47"/>
        <v>14238.253020602664</v>
      </c>
      <c r="AA36" s="19">
        <f t="shared" si="47"/>
        <v>15149.089311018051</v>
      </c>
      <c r="AB36" s="19">
        <f t="shared" si="47"/>
        <v>11616.146733548501</v>
      </c>
      <c r="AC36" s="19">
        <f t="shared" si="47"/>
        <v>9183.5582979532519</v>
      </c>
      <c r="AD36" s="19">
        <f t="shared" si="47"/>
        <v>9729.8474545880908</v>
      </c>
      <c r="AE36" s="19">
        <f t="shared" si="47"/>
        <v>10310.514455218494</v>
      </c>
      <c r="AF36" s="19">
        <f t="shared" si="47"/>
        <v>10927.811253045395</v>
      </c>
      <c r="AG36" s="19">
        <f t="shared" si="47"/>
        <v>11584.141258158641</v>
      </c>
      <c r="AH36" s="19">
        <f t="shared" si="47"/>
        <v>12282.069692325818</v>
      </c>
      <c r="AI36" s="19">
        <f t="shared" si="47"/>
        <v>13024.334658728541</v>
      </c>
      <c r="AJ36" s="19">
        <f t="shared" si="47"/>
        <v>13813.858976297051</v>
      </c>
      <c r="AK36" s="19">
        <f t="shared" si="47"/>
        <v>11109.785709428734</v>
      </c>
      <c r="AL36" s="19">
        <f t="shared" si="47"/>
        <v>11755.32178528919</v>
      </c>
      <c r="AM36" s="19">
        <f t="shared" si="46"/>
        <v>12440.759429507896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200</v>
      </c>
      <c r="E39" s="18">
        <v>208</v>
      </c>
      <c r="F39" s="18">
        <v>216.32</v>
      </c>
      <c r="G39" s="18">
        <v>224.97280000000001</v>
      </c>
      <c r="H39" s="18">
        <v>233.97171200000003</v>
      </c>
      <c r="I39" s="18">
        <v>243.33058048000004</v>
      </c>
      <c r="J39" s="18">
        <v>253.06380369920004</v>
      </c>
      <c r="K39" s="18">
        <v>263.18635584716804</v>
      </c>
      <c r="L39" s="18">
        <v>273.71381008105476</v>
      </c>
      <c r="M39" s="18">
        <v>284.66236248429698</v>
      </c>
      <c r="N39" s="18">
        <v>296.04885698366888</v>
      </c>
      <c r="O39" s="18">
        <v>307.89081126301568</v>
      </c>
      <c r="P39" s="18">
        <v>320.20644371353632</v>
      </c>
      <c r="Q39" s="18">
        <v>333.01470146207777</v>
      </c>
      <c r="R39" s="18">
        <v>346.33528952056088</v>
      </c>
      <c r="S39" s="18">
        <v>360.18870110138334</v>
      </c>
      <c r="T39" s="18">
        <v>374.59624914543872</v>
      </c>
      <c r="U39" s="18">
        <v>389.58009911125629</v>
      </c>
      <c r="V39" s="18">
        <v>405.16330307570655</v>
      </c>
      <c r="W39" s="18">
        <v>421.36983519873485</v>
      </c>
      <c r="X39" s="18">
        <v>438.22462860668423</v>
      </c>
      <c r="Y39" s="18">
        <v>455.75361375095162</v>
      </c>
      <c r="Z39" s="18">
        <v>473.98375830098968</v>
      </c>
      <c r="AA39" s="18">
        <v>492.94310863302928</v>
      </c>
      <c r="AB39" s="18">
        <v>512.66083297835053</v>
      </c>
      <c r="AC39" s="18">
        <v>533.16726629748462</v>
      </c>
      <c r="AD39" s="18">
        <v>554.49395694938403</v>
      </c>
      <c r="AE39" s="18">
        <v>576.67371522735937</v>
      </c>
      <c r="AF39" s="18">
        <v>599.74066383645379</v>
      </c>
      <c r="AG39" s="18">
        <v>623.73029038991194</v>
      </c>
      <c r="AH39" s="18">
        <v>648.67950200550843</v>
      </c>
      <c r="AI39" s="18">
        <v>674.62668208572882</v>
      </c>
      <c r="AJ39" s="18">
        <v>701.61174936915802</v>
      </c>
      <c r="AK39" s="18">
        <v>729.67621934392434</v>
      </c>
      <c r="AL39" s="18">
        <v>758.8632681176814</v>
      </c>
      <c r="AM39" s="18">
        <v>789.21779884238867</v>
      </c>
    </row>
    <row r="40" spans="2:39" s="17" customFormat="1" ht="21" customHeight="1" x14ac:dyDescent="0.3">
      <c r="B40" s="7" t="s">
        <v>38</v>
      </c>
      <c r="C40" s="15"/>
      <c r="D40" s="18">
        <v>200</v>
      </c>
      <c r="E40" s="18">
        <v>204</v>
      </c>
      <c r="F40" s="18">
        <v>208.08</v>
      </c>
      <c r="G40" s="18">
        <v>212.24160000000001</v>
      </c>
      <c r="H40" s="18">
        <v>216.48643200000001</v>
      </c>
      <c r="I40" s="18">
        <v>220.81616064000002</v>
      </c>
      <c r="J40" s="18">
        <v>225.23248385280002</v>
      </c>
      <c r="K40" s="18">
        <v>229.73713352985601</v>
      </c>
      <c r="L40" s="18">
        <v>234.33187620045314</v>
      </c>
      <c r="M40" s="18">
        <v>239.0185137244622</v>
      </c>
      <c r="N40" s="18">
        <v>243.79888399895145</v>
      </c>
      <c r="O40" s="18">
        <v>248.67486167893048</v>
      </c>
      <c r="P40" s="18">
        <v>253.64835891250911</v>
      </c>
      <c r="Q40" s="18">
        <v>258.72132609075931</v>
      </c>
      <c r="R40" s="18">
        <v>263.89575261257448</v>
      </c>
      <c r="S40" s="18">
        <v>269.17366766482598</v>
      </c>
      <c r="T40" s="18">
        <v>274.55714101812254</v>
      </c>
      <c r="U40" s="18">
        <v>280.04828383848502</v>
      </c>
      <c r="V40" s="18">
        <v>285.64924951525472</v>
      </c>
      <c r="W40" s="18">
        <v>291.3622345055598</v>
      </c>
      <c r="X40" s="18">
        <v>297.18947919567103</v>
      </c>
      <c r="Y40" s="18">
        <v>303.13326877958445</v>
      </c>
      <c r="Z40" s="18">
        <v>309.19593415517613</v>
      </c>
      <c r="AA40" s="18">
        <v>315.37985283827965</v>
      </c>
      <c r="AB40" s="18">
        <v>321.68744989504523</v>
      </c>
      <c r="AC40" s="18">
        <v>328.12119889294615</v>
      </c>
      <c r="AD40" s="18">
        <v>334.6836228708051</v>
      </c>
      <c r="AE40" s="18">
        <v>341.37729532822118</v>
      </c>
      <c r="AF40" s="18">
        <v>348.20484123478559</v>
      </c>
      <c r="AG40" s="18">
        <v>355.16893805948132</v>
      </c>
      <c r="AH40" s="18">
        <v>362.27231682067094</v>
      </c>
      <c r="AI40" s="18">
        <v>369.51776315708435</v>
      </c>
      <c r="AJ40" s="18">
        <v>376.90811842022606</v>
      </c>
      <c r="AK40" s="18">
        <v>384.44628078863059</v>
      </c>
      <c r="AL40" s="18">
        <v>392.13520640440322</v>
      </c>
      <c r="AM40" s="18">
        <v>399.97791053249131</v>
      </c>
    </row>
    <row r="41" spans="2:39" s="17" customFormat="1" ht="21" customHeight="1" x14ac:dyDescent="0.3">
      <c r="B41" s="7" t="s">
        <v>39</v>
      </c>
      <c r="C41" s="15"/>
      <c r="D41" s="18">
        <v>200</v>
      </c>
      <c r="E41" s="18">
        <v>208</v>
      </c>
      <c r="F41" s="18">
        <v>216.32</v>
      </c>
      <c r="G41" s="18">
        <v>224.97280000000001</v>
      </c>
      <c r="H41" s="18">
        <v>233.97171200000003</v>
      </c>
      <c r="I41" s="18">
        <v>243.33058048000004</v>
      </c>
      <c r="J41" s="18">
        <v>253.06380369920004</v>
      </c>
      <c r="K41" s="18">
        <v>263.18635584716804</v>
      </c>
      <c r="L41" s="18">
        <v>273.71381008105476</v>
      </c>
      <c r="M41" s="18">
        <v>284.66236248429698</v>
      </c>
      <c r="N41" s="18">
        <v>296.04885698366888</v>
      </c>
      <c r="O41" s="18">
        <v>307.89081126301568</v>
      </c>
      <c r="P41" s="18">
        <v>320.20644371353632</v>
      </c>
      <c r="Q41" s="18">
        <v>333.01470146207777</v>
      </c>
      <c r="R41" s="18">
        <v>346.33528952056088</v>
      </c>
      <c r="S41" s="18">
        <v>360.18870110138334</v>
      </c>
      <c r="T41" s="18">
        <v>374.59624914543872</v>
      </c>
      <c r="U41" s="18">
        <v>389.58009911125629</v>
      </c>
      <c r="V41" s="18">
        <v>405.16330307570655</v>
      </c>
      <c r="W41" s="18">
        <v>421.36983519873485</v>
      </c>
      <c r="X41" s="18">
        <v>438.22462860668423</v>
      </c>
      <c r="Y41" s="18">
        <v>455.75361375095162</v>
      </c>
      <c r="Z41" s="18">
        <v>473.98375830098968</v>
      </c>
      <c r="AA41" s="18">
        <v>492.94310863302928</v>
      </c>
      <c r="AB41" s="18">
        <v>512.66083297835053</v>
      </c>
      <c r="AC41" s="18">
        <v>533.16726629748462</v>
      </c>
      <c r="AD41" s="18">
        <v>554.49395694938403</v>
      </c>
      <c r="AE41" s="18">
        <v>576.67371522735937</v>
      </c>
      <c r="AF41" s="18">
        <v>599.74066383645379</v>
      </c>
      <c r="AG41" s="18">
        <v>623.73029038991194</v>
      </c>
      <c r="AH41" s="18">
        <v>648.67950200550843</v>
      </c>
      <c r="AI41" s="18">
        <v>674.62668208572882</v>
      </c>
      <c r="AJ41" s="18">
        <v>701.61174936915802</v>
      </c>
      <c r="AK41" s="18">
        <v>729.67621934392434</v>
      </c>
      <c r="AL41" s="18">
        <v>758.8632681176814</v>
      </c>
      <c r="AM41" s="18">
        <v>789.21779884238867</v>
      </c>
    </row>
    <row r="42" spans="2:39" s="30" customFormat="1" ht="21" customHeight="1" x14ac:dyDescent="0.3">
      <c r="B42" s="28" t="s">
        <v>40</v>
      </c>
      <c r="C42" s="29"/>
      <c r="D42" s="27">
        <f t="shared" ref="D42" si="48">SUM(D41, D40, D39 + D38)</f>
        <v>600</v>
      </c>
      <c r="E42" s="27">
        <v>600</v>
      </c>
      <c r="F42" s="27">
        <v>600</v>
      </c>
      <c r="G42" s="27">
        <v>600</v>
      </c>
      <c r="H42" s="27">
        <v>600</v>
      </c>
      <c r="I42" s="27">
        <v>600</v>
      </c>
      <c r="J42" s="27">
        <v>600</v>
      </c>
      <c r="K42" s="27">
        <v>600</v>
      </c>
      <c r="L42" s="27">
        <v>600</v>
      </c>
      <c r="M42" s="27">
        <v>600</v>
      </c>
      <c r="N42" s="27">
        <v>600</v>
      </c>
      <c r="O42" s="27">
        <v>600</v>
      </c>
      <c r="P42" s="27">
        <v>600</v>
      </c>
      <c r="Q42" s="27">
        <v>600</v>
      </c>
      <c r="R42" s="27">
        <v>600</v>
      </c>
      <c r="S42" s="27">
        <v>600</v>
      </c>
      <c r="T42" s="27">
        <v>600</v>
      </c>
      <c r="U42" s="27">
        <v>600</v>
      </c>
      <c r="V42" s="27">
        <v>600</v>
      </c>
      <c r="W42" s="27">
        <v>600</v>
      </c>
      <c r="X42" s="27">
        <v>600</v>
      </c>
      <c r="Y42" s="27">
        <v>600</v>
      </c>
      <c r="Z42" s="27">
        <v>600</v>
      </c>
      <c r="AA42" s="27">
        <v>600</v>
      </c>
      <c r="AB42" s="27">
        <v>600</v>
      </c>
      <c r="AC42" s="27">
        <v>600</v>
      </c>
      <c r="AD42" s="27">
        <v>600</v>
      </c>
      <c r="AE42" s="27">
        <v>600</v>
      </c>
      <c r="AF42" s="27">
        <v>600</v>
      </c>
      <c r="AG42" s="27">
        <v>600</v>
      </c>
      <c r="AH42" s="27">
        <v>600</v>
      </c>
      <c r="AI42" s="27">
        <v>600</v>
      </c>
      <c r="AJ42" s="27">
        <v>600</v>
      </c>
      <c r="AK42" s="27">
        <v>600</v>
      </c>
      <c r="AL42" s="27">
        <v>600</v>
      </c>
      <c r="AM42" s="27">
        <v>600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49">SUM(D41, D40, D39, D38, D37, D35, D34, D33, D32, D31, D30, D28, D27, D26, D25, D24, D22, D21, D20, D19, D18, D17, D16, D15, D14 + D13)</f>
        <v>15207.375</v>
      </c>
      <c r="E43" s="19">
        <f t="shared" ref="E43:AL43" si="50">SUM(E41, E40, E39, E38, E37, E35, E34, E33, E32, E31, E30, E28, E27, E26, E25, E24, E22, E21, E20, E19, E18, E17, E16, E15, E14 + E13)</f>
        <v>15918.67</v>
      </c>
      <c r="F43" s="19">
        <f t="shared" si="50"/>
        <v>16671.006799999999</v>
      </c>
      <c r="G43" s="19">
        <f t="shared" si="50"/>
        <v>15968.855572000002</v>
      </c>
      <c r="H43" s="19">
        <f t="shared" si="50"/>
        <v>14061.835225880002</v>
      </c>
      <c r="I43" s="19">
        <f t="shared" si="50"/>
        <v>14732.971373165203</v>
      </c>
      <c r="J43" s="19">
        <f t="shared" si="50"/>
        <v>15216.867546799211</v>
      </c>
      <c r="K43" s="19">
        <f t="shared" si="50"/>
        <v>15961.35757533333</v>
      </c>
      <c r="L43" s="19">
        <f t="shared" si="50"/>
        <v>16749.629807424222</v>
      </c>
      <c r="M43" s="19">
        <f t="shared" si="50"/>
        <v>17584.528302585408</v>
      </c>
      <c r="N43" s="19">
        <f t="shared" si="50"/>
        <v>18469.091322749613</v>
      </c>
      <c r="O43" s="19">
        <f t="shared" si="50"/>
        <v>19406.564945888429</v>
      </c>
      <c r="P43" s="19">
        <f t="shared" si="50"/>
        <v>20400.417648722298</v>
      </c>
      <c r="Q43" s="19">
        <f t="shared" si="50"/>
        <v>21454.355928210909</v>
      </c>
      <c r="R43" s="19">
        <f t="shared" si="50"/>
        <v>21293.953307644213</v>
      </c>
      <c r="S43" s="19">
        <f t="shared" si="50"/>
        <v>22454.651426427328</v>
      </c>
      <c r="T43" s="19">
        <f t="shared" si="50"/>
        <v>23687.644783543979</v>
      </c>
      <c r="U43" s="19">
        <f t="shared" si="50"/>
        <v>20710.226438495767</v>
      </c>
      <c r="V43" s="19">
        <f t="shared" si="50"/>
        <v>21802.501361459621</v>
      </c>
      <c r="W43" s="19">
        <f t="shared" si="50"/>
        <v>22671.498643307281</v>
      </c>
      <c r="X43" s="19">
        <f t="shared" si="50"/>
        <v>23893.098527619968</v>
      </c>
      <c r="Y43" s="19">
        <f t="shared" si="50"/>
        <v>25190.407837741823</v>
      </c>
      <c r="Z43" s="19">
        <f t="shared" si="50"/>
        <v>26568.48845310431</v>
      </c>
      <c r="AA43" s="19">
        <f t="shared" si="50"/>
        <v>28032.754766134214</v>
      </c>
      <c r="AB43" s="19">
        <f t="shared" si="50"/>
        <v>24015.440890287573</v>
      </c>
      <c r="AC43" s="19">
        <f t="shared" si="50"/>
        <v>22180.310332753674</v>
      </c>
      <c r="AD43" s="19">
        <f t="shared" si="50"/>
        <v>23359.65792249209</v>
      </c>
      <c r="AE43" s="19">
        <f t="shared" si="50"/>
        <v>24290.324370176295</v>
      </c>
      <c r="AF43" s="19">
        <f t="shared" si="50"/>
        <v>25609.686083081113</v>
      </c>
      <c r="AG43" s="19">
        <f t="shared" si="50"/>
        <v>27011.197602241984</v>
      </c>
      <c r="AH43" s="19">
        <f t="shared" si="50"/>
        <v>28500.407851008626</v>
      </c>
      <c r="AI43" s="19">
        <f t="shared" si="50"/>
        <v>30083.258820951392</v>
      </c>
      <c r="AJ43" s="19">
        <f t="shared" si="50"/>
        <v>30906.187549969523</v>
      </c>
      <c r="AK43" s="19">
        <f t="shared" si="50"/>
        <v>29134.687951439075</v>
      </c>
      <c r="AL43" s="19">
        <f t="shared" si="50"/>
        <v>30427.818051314542</v>
      </c>
      <c r="AM43" s="19">
        <f t="shared" si="49"/>
        <v>32159.873216258617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1">D12-D43</f>
        <v>-15207.375</v>
      </c>
      <c r="E44" s="23">
        <f t="shared" ref="E44:AL44" si="52">E12-E43</f>
        <v>-15918.67</v>
      </c>
      <c r="F44" s="23">
        <f t="shared" si="52"/>
        <v>-16671.006799999999</v>
      </c>
      <c r="G44" s="23">
        <f t="shared" si="52"/>
        <v>-15968.855572000002</v>
      </c>
      <c r="H44" s="23">
        <f t="shared" si="52"/>
        <v>-14061.835225880002</v>
      </c>
      <c r="I44" s="23">
        <f t="shared" si="52"/>
        <v>-14732.971373165203</v>
      </c>
      <c r="J44" s="23">
        <f t="shared" si="52"/>
        <v>-15216.867546799211</v>
      </c>
      <c r="K44" s="23">
        <f t="shared" si="52"/>
        <v>-15961.35757533333</v>
      </c>
      <c r="L44" s="23">
        <f t="shared" si="52"/>
        <v>-16749.629807424222</v>
      </c>
      <c r="M44" s="23">
        <f t="shared" si="52"/>
        <v>-17584.528302585408</v>
      </c>
      <c r="N44" s="23">
        <f t="shared" si="52"/>
        <v>-18469.091322749613</v>
      </c>
      <c r="O44" s="23">
        <f t="shared" si="52"/>
        <v>-19406.564945888429</v>
      </c>
      <c r="P44" s="23">
        <f t="shared" si="52"/>
        <v>-20400.417648722298</v>
      </c>
      <c r="Q44" s="23">
        <f t="shared" si="52"/>
        <v>-21454.355928210909</v>
      </c>
      <c r="R44" s="23">
        <f t="shared" si="52"/>
        <v>-21293.953307644213</v>
      </c>
      <c r="S44" s="23">
        <f t="shared" si="52"/>
        <v>-22454.651426427328</v>
      </c>
      <c r="T44" s="23">
        <f t="shared" si="52"/>
        <v>-23687.644783543979</v>
      </c>
      <c r="U44" s="23">
        <f t="shared" si="52"/>
        <v>-20710.226438495767</v>
      </c>
      <c r="V44" s="23">
        <f t="shared" si="52"/>
        <v>-21802.501361459621</v>
      </c>
      <c r="W44" s="23">
        <f t="shared" si="52"/>
        <v>-22671.498643307281</v>
      </c>
      <c r="X44" s="23">
        <f t="shared" si="52"/>
        <v>-23893.098527619968</v>
      </c>
      <c r="Y44" s="23">
        <f t="shared" si="52"/>
        <v>-25190.407837741823</v>
      </c>
      <c r="Z44" s="23">
        <f t="shared" si="52"/>
        <v>-26568.48845310431</v>
      </c>
      <c r="AA44" s="23">
        <f t="shared" si="52"/>
        <v>-28032.754766134214</v>
      </c>
      <c r="AB44" s="23">
        <f t="shared" si="52"/>
        <v>-24015.440890287573</v>
      </c>
      <c r="AC44" s="23">
        <f t="shared" si="52"/>
        <v>-22180.310332753674</v>
      </c>
      <c r="AD44" s="23">
        <f t="shared" si="52"/>
        <v>-23359.65792249209</v>
      </c>
      <c r="AE44" s="23">
        <f t="shared" si="52"/>
        <v>-24290.324370176295</v>
      </c>
      <c r="AF44" s="23">
        <f t="shared" si="52"/>
        <v>-25609.686083081113</v>
      </c>
      <c r="AG44" s="23">
        <f t="shared" si="52"/>
        <v>-27011.197602241984</v>
      </c>
      <c r="AH44" s="23">
        <f t="shared" si="52"/>
        <v>-28500.407851008626</v>
      </c>
      <c r="AI44" s="23">
        <f t="shared" si="52"/>
        <v>-30083.258820951392</v>
      </c>
      <c r="AJ44" s="23">
        <f t="shared" si="52"/>
        <v>-30906.187549969523</v>
      </c>
      <c r="AK44" s="23">
        <f t="shared" si="52"/>
        <v>-29134.687951439075</v>
      </c>
      <c r="AL44" s="23">
        <f t="shared" si="52"/>
        <v>-30427.818051314542</v>
      </c>
      <c r="AM44" s="23">
        <f t="shared" si="51"/>
        <v>-32159.873216258617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3">SUM(D46 + D45)</f>
        <v>0</v>
      </c>
      <c r="E47" s="19">
        <f t="shared" si="53"/>
        <v>0</v>
      </c>
      <c r="F47" s="19">
        <f t="shared" si="53"/>
        <v>0</v>
      </c>
      <c r="G47" s="19">
        <f t="shared" si="53"/>
        <v>0</v>
      </c>
      <c r="H47" s="19">
        <f t="shared" si="53"/>
        <v>0</v>
      </c>
      <c r="I47" s="19">
        <f t="shared" si="53"/>
        <v>0</v>
      </c>
      <c r="J47" s="19">
        <f t="shared" si="53"/>
        <v>0</v>
      </c>
      <c r="K47" s="19">
        <f t="shared" si="53"/>
        <v>0</v>
      </c>
      <c r="L47" s="19">
        <f t="shared" si="53"/>
        <v>0</v>
      </c>
      <c r="M47" s="19">
        <f t="shared" si="53"/>
        <v>0</v>
      </c>
      <c r="N47" s="19">
        <f t="shared" si="53"/>
        <v>0</v>
      </c>
      <c r="O47" s="19">
        <f t="shared" si="53"/>
        <v>0</v>
      </c>
      <c r="P47" s="19">
        <f t="shared" si="53"/>
        <v>0</v>
      </c>
      <c r="Q47" s="19">
        <f t="shared" si="53"/>
        <v>0</v>
      </c>
      <c r="R47" s="19">
        <f t="shared" si="53"/>
        <v>0</v>
      </c>
      <c r="S47" s="19">
        <f t="shared" si="53"/>
        <v>0</v>
      </c>
      <c r="T47" s="19">
        <f t="shared" si="53"/>
        <v>0</v>
      </c>
      <c r="U47" s="19">
        <f t="shared" si="53"/>
        <v>0</v>
      </c>
      <c r="V47" s="19">
        <f t="shared" si="53"/>
        <v>0</v>
      </c>
      <c r="W47" s="19">
        <f t="shared" si="53"/>
        <v>0</v>
      </c>
      <c r="X47" s="19">
        <f t="shared" si="53"/>
        <v>0</v>
      </c>
      <c r="Y47" s="19">
        <f t="shared" si="53"/>
        <v>0</v>
      </c>
      <c r="Z47" s="19">
        <f t="shared" si="53"/>
        <v>0</v>
      </c>
      <c r="AA47" s="19">
        <f t="shared" si="53"/>
        <v>0</v>
      </c>
      <c r="AB47" s="19">
        <f t="shared" si="53"/>
        <v>0</v>
      </c>
      <c r="AC47" s="19">
        <f t="shared" si="53"/>
        <v>0</v>
      </c>
      <c r="AD47" s="19">
        <f t="shared" si="53"/>
        <v>0</v>
      </c>
      <c r="AE47" s="19">
        <f t="shared" si="53"/>
        <v>0</v>
      </c>
      <c r="AF47" s="19">
        <f t="shared" si="53"/>
        <v>0</v>
      </c>
      <c r="AG47" s="19">
        <f t="shared" si="53"/>
        <v>0</v>
      </c>
      <c r="AH47" s="19">
        <f t="shared" si="53"/>
        <v>0</v>
      </c>
      <c r="AI47" s="19">
        <f t="shared" si="53"/>
        <v>0</v>
      </c>
      <c r="AJ47" s="19">
        <f t="shared" si="53"/>
        <v>0</v>
      </c>
      <c r="AK47" s="19">
        <f t="shared" si="53"/>
        <v>0</v>
      </c>
      <c r="AL47" s="19">
        <f t="shared" si="53"/>
        <v>0</v>
      </c>
      <c r="AM47" s="19">
        <f t="shared" ref="AM47" si="5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5">SUM(D50, D49 + D48)</f>
        <v>0</v>
      </c>
      <c r="E51" s="19">
        <f t="shared" ref="E51:AL51" si="56">SUM(E50, E49 + E48)</f>
        <v>0</v>
      </c>
      <c r="F51" s="19">
        <f t="shared" si="56"/>
        <v>0</v>
      </c>
      <c r="G51" s="19">
        <f t="shared" si="56"/>
        <v>0</v>
      </c>
      <c r="H51" s="19">
        <f t="shared" si="56"/>
        <v>0</v>
      </c>
      <c r="I51" s="19">
        <f t="shared" si="56"/>
        <v>0</v>
      </c>
      <c r="J51" s="19">
        <f t="shared" si="56"/>
        <v>0</v>
      </c>
      <c r="K51" s="19">
        <f t="shared" si="56"/>
        <v>0</v>
      </c>
      <c r="L51" s="19">
        <f t="shared" si="56"/>
        <v>0</v>
      </c>
      <c r="M51" s="19">
        <f t="shared" si="56"/>
        <v>0</v>
      </c>
      <c r="N51" s="19">
        <f t="shared" si="56"/>
        <v>0</v>
      </c>
      <c r="O51" s="19">
        <f t="shared" si="56"/>
        <v>0</v>
      </c>
      <c r="P51" s="19">
        <f t="shared" si="56"/>
        <v>0</v>
      </c>
      <c r="Q51" s="19">
        <f t="shared" si="56"/>
        <v>0</v>
      </c>
      <c r="R51" s="19">
        <f t="shared" si="56"/>
        <v>0</v>
      </c>
      <c r="S51" s="19">
        <f t="shared" si="56"/>
        <v>0</v>
      </c>
      <c r="T51" s="19">
        <f t="shared" si="56"/>
        <v>0</v>
      </c>
      <c r="U51" s="19">
        <f t="shared" si="56"/>
        <v>0</v>
      </c>
      <c r="V51" s="19">
        <f t="shared" si="56"/>
        <v>0</v>
      </c>
      <c r="W51" s="19">
        <f t="shared" si="56"/>
        <v>0</v>
      </c>
      <c r="X51" s="19">
        <f t="shared" si="56"/>
        <v>0</v>
      </c>
      <c r="Y51" s="19">
        <f t="shared" si="56"/>
        <v>0</v>
      </c>
      <c r="Z51" s="19">
        <f t="shared" si="56"/>
        <v>0</v>
      </c>
      <c r="AA51" s="19">
        <f t="shared" si="56"/>
        <v>0</v>
      </c>
      <c r="AB51" s="19">
        <f t="shared" si="56"/>
        <v>0</v>
      </c>
      <c r="AC51" s="19">
        <f t="shared" si="56"/>
        <v>0</v>
      </c>
      <c r="AD51" s="19">
        <f t="shared" si="56"/>
        <v>0</v>
      </c>
      <c r="AE51" s="19">
        <f t="shared" si="56"/>
        <v>0</v>
      </c>
      <c r="AF51" s="19">
        <f t="shared" si="56"/>
        <v>0</v>
      </c>
      <c r="AG51" s="19">
        <f t="shared" si="56"/>
        <v>0</v>
      </c>
      <c r="AH51" s="19">
        <f t="shared" si="56"/>
        <v>0</v>
      </c>
      <c r="AI51" s="19">
        <f t="shared" si="56"/>
        <v>0</v>
      </c>
      <c r="AJ51" s="19">
        <f t="shared" si="56"/>
        <v>0</v>
      </c>
      <c r="AK51" s="19">
        <f t="shared" si="56"/>
        <v>0</v>
      </c>
      <c r="AL51" s="19">
        <f t="shared" si="56"/>
        <v>0</v>
      </c>
      <c r="AM51" s="19">
        <f t="shared" si="5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7">D47-D51</f>
        <v>0</v>
      </c>
      <c r="E52" s="23">
        <f t="shared" ref="E52:AL52" si="58">E47-E51</f>
        <v>0</v>
      </c>
      <c r="F52" s="23">
        <f t="shared" si="58"/>
        <v>0</v>
      </c>
      <c r="G52" s="23">
        <f t="shared" si="58"/>
        <v>0</v>
      </c>
      <c r="H52" s="23">
        <f t="shared" si="58"/>
        <v>0</v>
      </c>
      <c r="I52" s="23">
        <f t="shared" si="58"/>
        <v>0</v>
      </c>
      <c r="J52" s="23">
        <f t="shared" si="58"/>
        <v>0</v>
      </c>
      <c r="K52" s="23">
        <f t="shared" si="58"/>
        <v>0</v>
      </c>
      <c r="L52" s="23">
        <f t="shared" si="58"/>
        <v>0</v>
      </c>
      <c r="M52" s="23">
        <f t="shared" si="58"/>
        <v>0</v>
      </c>
      <c r="N52" s="23">
        <f t="shared" si="58"/>
        <v>0</v>
      </c>
      <c r="O52" s="23">
        <f t="shared" si="58"/>
        <v>0</v>
      </c>
      <c r="P52" s="23">
        <f t="shared" si="58"/>
        <v>0</v>
      </c>
      <c r="Q52" s="23">
        <f t="shared" si="58"/>
        <v>0</v>
      </c>
      <c r="R52" s="23">
        <f t="shared" si="58"/>
        <v>0</v>
      </c>
      <c r="S52" s="23">
        <f t="shared" si="58"/>
        <v>0</v>
      </c>
      <c r="T52" s="23">
        <f t="shared" si="58"/>
        <v>0</v>
      </c>
      <c r="U52" s="23">
        <f t="shared" si="58"/>
        <v>0</v>
      </c>
      <c r="V52" s="23">
        <f t="shared" si="58"/>
        <v>0</v>
      </c>
      <c r="W52" s="23">
        <f t="shared" si="58"/>
        <v>0</v>
      </c>
      <c r="X52" s="23">
        <f t="shared" si="58"/>
        <v>0</v>
      </c>
      <c r="Y52" s="23">
        <f t="shared" si="58"/>
        <v>0</v>
      </c>
      <c r="Z52" s="23">
        <f t="shared" si="58"/>
        <v>0</v>
      </c>
      <c r="AA52" s="23">
        <f t="shared" si="58"/>
        <v>0</v>
      </c>
      <c r="AB52" s="23">
        <f t="shared" si="58"/>
        <v>0</v>
      </c>
      <c r="AC52" s="23">
        <f t="shared" si="58"/>
        <v>0</v>
      </c>
      <c r="AD52" s="23">
        <f t="shared" si="58"/>
        <v>0</v>
      </c>
      <c r="AE52" s="23">
        <f t="shared" si="58"/>
        <v>0</v>
      </c>
      <c r="AF52" s="23">
        <f t="shared" si="58"/>
        <v>0</v>
      </c>
      <c r="AG52" s="23">
        <f t="shared" si="58"/>
        <v>0</v>
      </c>
      <c r="AH52" s="23">
        <f t="shared" si="58"/>
        <v>0</v>
      </c>
      <c r="AI52" s="23">
        <f t="shared" si="58"/>
        <v>0</v>
      </c>
      <c r="AJ52" s="23">
        <f t="shared" si="58"/>
        <v>0</v>
      </c>
      <c r="AK52" s="23">
        <f t="shared" si="58"/>
        <v>0</v>
      </c>
      <c r="AL52" s="23">
        <f t="shared" si="58"/>
        <v>0</v>
      </c>
      <c r="AM52" s="23">
        <f t="shared" si="5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59">D44+D52</f>
        <v>-15207.375</v>
      </c>
      <c r="E53" s="23">
        <f t="shared" ref="E53:AL53" si="60">E44+E52</f>
        <v>-15918.67</v>
      </c>
      <c r="F53" s="23">
        <f t="shared" si="60"/>
        <v>-16671.006799999999</v>
      </c>
      <c r="G53" s="23">
        <f t="shared" si="60"/>
        <v>-15968.855572000002</v>
      </c>
      <c r="H53" s="23">
        <f t="shared" si="60"/>
        <v>-14061.835225880002</v>
      </c>
      <c r="I53" s="23">
        <f t="shared" si="60"/>
        <v>-14732.971373165203</v>
      </c>
      <c r="J53" s="23">
        <f t="shared" si="60"/>
        <v>-15216.867546799211</v>
      </c>
      <c r="K53" s="23">
        <f t="shared" si="60"/>
        <v>-15961.35757533333</v>
      </c>
      <c r="L53" s="23">
        <f t="shared" si="60"/>
        <v>-16749.629807424222</v>
      </c>
      <c r="M53" s="23">
        <f t="shared" si="60"/>
        <v>-17584.528302585408</v>
      </c>
      <c r="N53" s="23">
        <f t="shared" si="60"/>
        <v>-18469.091322749613</v>
      </c>
      <c r="O53" s="23">
        <f t="shared" si="60"/>
        <v>-19406.564945888429</v>
      </c>
      <c r="P53" s="23">
        <f t="shared" si="60"/>
        <v>-20400.417648722298</v>
      </c>
      <c r="Q53" s="23">
        <f t="shared" si="60"/>
        <v>-21454.355928210909</v>
      </c>
      <c r="R53" s="23">
        <f t="shared" si="60"/>
        <v>-21293.953307644213</v>
      </c>
      <c r="S53" s="23">
        <f t="shared" si="60"/>
        <v>-22454.651426427328</v>
      </c>
      <c r="T53" s="23">
        <f t="shared" si="60"/>
        <v>-23687.644783543979</v>
      </c>
      <c r="U53" s="23">
        <f t="shared" si="60"/>
        <v>-20710.226438495767</v>
      </c>
      <c r="V53" s="23">
        <f t="shared" si="60"/>
        <v>-21802.501361459621</v>
      </c>
      <c r="W53" s="23">
        <f t="shared" si="60"/>
        <v>-22671.498643307281</v>
      </c>
      <c r="X53" s="23">
        <f t="shared" si="60"/>
        <v>-23893.098527619968</v>
      </c>
      <c r="Y53" s="23">
        <f t="shared" si="60"/>
        <v>-25190.407837741823</v>
      </c>
      <c r="Z53" s="23">
        <f t="shared" si="60"/>
        <v>-26568.48845310431</v>
      </c>
      <c r="AA53" s="23">
        <f t="shared" si="60"/>
        <v>-28032.754766134214</v>
      </c>
      <c r="AB53" s="23">
        <f t="shared" si="60"/>
        <v>-24015.440890287573</v>
      </c>
      <c r="AC53" s="23">
        <f t="shared" si="60"/>
        <v>-22180.310332753674</v>
      </c>
      <c r="AD53" s="23">
        <f t="shared" si="60"/>
        <v>-23359.65792249209</v>
      </c>
      <c r="AE53" s="23">
        <f t="shared" si="60"/>
        <v>-24290.324370176295</v>
      </c>
      <c r="AF53" s="23">
        <f t="shared" si="60"/>
        <v>-25609.686083081113</v>
      </c>
      <c r="AG53" s="23">
        <f t="shared" si="60"/>
        <v>-27011.197602241984</v>
      </c>
      <c r="AH53" s="23">
        <f t="shared" si="60"/>
        <v>-28500.407851008626</v>
      </c>
      <c r="AI53" s="23">
        <f t="shared" si="60"/>
        <v>-30083.258820951392</v>
      </c>
      <c r="AJ53" s="23">
        <f t="shared" si="60"/>
        <v>-30906.187549969523</v>
      </c>
      <c r="AK53" s="23">
        <f t="shared" si="60"/>
        <v>-29134.687951439075</v>
      </c>
      <c r="AL53" s="23">
        <f t="shared" si="60"/>
        <v>-30427.818051314542</v>
      </c>
      <c r="AM53" s="23">
        <f t="shared" si="59"/>
        <v>-32159.873216258617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F892178-8416-455A-94E4-B90B9C818C08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497D-5FDD-4F37-8F6C-852D524532CC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5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56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8000</v>
      </c>
      <c r="E14" s="18">
        <v>8400</v>
      </c>
      <c r="F14" s="18">
        <v>8820</v>
      </c>
      <c r="G14" s="18">
        <f>F14*(0.8)</f>
        <v>7056</v>
      </c>
      <c r="H14" s="18">
        <v>7408.8</v>
      </c>
      <c r="I14" s="18">
        <v>7779.2400000000007</v>
      </c>
      <c r="J14" s="18">
        <v>8168.2020000000011</v>
      </c>
      <c r="K14" s="18">
        <v>8576.6121000000021</v>
      </c>
      <c r="L14" s="18">
        <v>9005.4427050000031</v>
      </c>
      <c r="M14" s="18">
        <v>9455.7148402500043</v>
      </c>
      <c r="N14" s="18">
        <f>M14*(0.8)</f>
        <v>7564.5718722000038</v>
      </c>
      <c r="O14" s="18">
        <v>7942.8004658100044</v>
      </c>
      <c r="P14" s="18">
        <v>8339.9404891005051</v>
      </c>
      <c r="Q14" s="18">
        <v>8756.937513555531</v>
      </c>
      <c r="R14" s="18">
        <v>9194.7843892333076</v>
      </c>
      <c r="S14" s="18">
        <v>9654.5236086949735</v>
      </c>
      <c r="T14" s="18">
        <v>10137.249789129723</v>
      </c>
      <c r="U14" s="18">
        <v>10644.11227858621</v>
      </c>
      <c r="V14" s="18">
        <v>11176.317892515521</v>
      </c>
      <c r="W14" s="18">
        <f>V14*(0.8)</f>
        <v>8941.0543140124173</v>
      </c>
      <c r="X14" s="18">
        <v>9388.1070297130391</v>
      </c>
      <c r="Y14" s="18">
        <v>9857.5123811986923</v>
      </c>
      <c r="Z14" s="18">
        <v>10350.388000258627</v>
      </c>
      <c r="AA14" s="18">
        <v>10867.907400271559</v>
      </c>
      <c r="AB14" s="18">
        <v>11411.302770285138</v>
      </c>
      <c r="AC14" s="18">
        <v>11981.867908799395</v>
      </c>
      <c r="AD14" s="18">
        <v>12580.961304239365</v>
      </c>
      <c r="AE14" s="18">
        <f>AD14*(0.8)</f>
        <v>10064.769043391492</v>
      </c>
      <c r="AF14" s="18">
        <v>10568.007495561067</v>
      </c>
      <c r="AG14" s="18">
        <v>11096.407870339121</v>
      </c>
      <c r="AH14" s="18">
        <v>11651.228263856077</v>
      </c>
      <c r="AI14" s="18">
        <v>12233.789677048882</v>
      </c>
      <c r="AJ14" s="18">
        <v>12845.479160901326</v>
      </c>
      <c r="AK14" s="18">
        <v>13487.753118946393</v>
      </c>
      <c r="AL14" s="18">
        <v>14162.140774893714</v>
      </c>
      <c r="AM14" s="18">
        <f>AL14*(0.8)</f>
        <v>11329.712619914972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10000</v>
      </c>
      <c r="E16" s="18">
        <v>10500</v>
      </c>
      <c r="F16" s="18">
        <f>E16*(0.75)</f>
        <v>7875</v>
      </c>
      <c r="G16" s="18">
        <v>8268.75</v>
      </c>
      <c r="H16" s="18">
        <v>8682.1875</v>
      </c>
      <c r="I16" s="18">
        <v>9116.296875</v>
      </c>
      <c r="J16" s="18">
        <v>9572.1117187500004</v>
      </c>
      <c r="K16" s="18">
        <v>10050.717304687501</v>
      </c>
      <c r="L16" s="18">
        <v>10553.253169921876</v>
      </c>
      <c r="M16" s="18">
        <v>11080.91582841797</v>
      </c>
      <c r="N16" s="18">
        <f>M16*(0.75)</f>
        <v>8310.6868713134772</v>
      </c>
      <c r="O16" s="18">
        <v>8726.2212148791514</v>
      </c>
      <c r="P16" s="18">
        <v>9162.5322756231089</v>
      </c>
      <c r="Q16" s="18">
        <v>9620.6588894042652</v>
      </c>
      <c r="R16" s="18">
        <v>10101.691833874478</v>
      </c>
      <c r="S16" s="18">
        <v>10606.776425568203</v>
      </c>
      <c r="T16" s="18">
        <v>11137.115246846613</v>
      </c>
      <c r="U16" s="18">
        <v>11693.971009188945</v>
      </c>
      <c r="V16" s="18">
        <v>12278.669559648393</v>
      </c>
      <c r="W16" s="18">
        <f>V16*(0.75)</f>
        <v>9209.0021697362954</v>
      </c>
      <c r="X16" s="18">
        <v>9669.4522782231106</v>
      </c>
      <c r="Y16" s="18">
        <v>10152.924892134266</v>
      </c>
      <c r="Z16" s="18">
        <v>10660.57113674098</v>
      </c>
      <c r="AA16" s="18">
        <v>11193.599693578029</v>
      </c>
      <c r="AB16" s="18">
        <v>11753.279678256931</v>
      </c>
      <c r="AC16" s="18">
        <f>AB16*(0.75)</f>
        <v>8814.9597586926975</v>
      </c>
      <c r="AD16" s="18">
        <v>9255.7077466273331</v>
      </c>
      <c r="AE16" s="18">
        <v>9718.4931339587001</v>
      </c>
      <c r="AF16" s="18">
        <v>10204.417790656635</v>
      </c>
      <c r="AG16" s="18">
        <v>10714.638680189466</v>
      </c>
      <c r="AH16" s="18">
        <f>AG16*(0.75)</f>
        <v>8035.9790101420995</v>
      </c>
      <c r="AI16" s="18">
        <v>8437.777960649204</v>
      </c>
      <c r="AJ16" s="18">
        <v>8859.666858681665</v>
      </c>
      <c r="AK16" s="18">
        <v>9302.6502016157483</v>
      </c>
      <c r="AL16" s="18">
        <f>AK16*(0.75)</f>
        <v>6976.9876512118117</v>
      </c>
      <c r="AM16" s="18">
        <v>7325.8370337724027</v>
      </c>
    </row>
    <row r="17" spans="2:39" s="17" customFormat="1" ht="21" customHeight="1" x14ac:dyDescent="0.3">
      <c r="B17" s="4" t="s">
        <v>15</v>
      </c>
      <c r="C17" s="15"/>
      <c r="D17" s="18">
        <v>8500</v>
      </c>
      <c r="E17" s="18">
        <f>D17*(0.6)</f>
        <v>5100</v>
      </c>
      <c r="F17" s="18">
        <v>5355</v>
      </c>
      <c r="G17" s="18">
        <v>5622.75</v>
      </c>
      <c r="H17" s="18">
        <v>5903.8874999999998</v>
      </c>
      <c r="I17" s="18">
        <v>6199.0818749999999</v>
      </c>
      <c r="J17" s="18">
        <v>6509.0359687500004</v>
      </c>
      <c r="K17" s="18">
        <v>6834.487767187501</v>
      </c>
      <c r="L17" s="18">
        <v>7176.2121555468766</v>
      </c>
      <c r="M17" s="18">
        <v>7535.0227633242212</v>
      </c>
      <c r="N17" s="18">
        <v>7911.7739014904328</v>
      </c>
      <c r="O17" s="18">
        <v>8307.3625965649553</v>
      </c>
      <c r="P17" s="18">
        <v>8722.7307263932034</v>
      </c>
      <c r="Q17" s="18">
        <v>9158.8672627128635</v>
      </c>
      <c r="R17" s="18">
        <v>9616.8106258485077</v>
      </c>
      <c r="S17" s="18">
        <f>R17*(0.6)</f>
        <v>5770.0863755091041</v>
      </c>
      <c r="T17" s="18">
        <v>6058.5906942845595</v>
      </c>
      <c r="U17" s="18">
        <v>6361.5202289987874</v>
      </c>
      <c r="V17" s="18">
        <v>6679.5962404487273</v>
      </c>
      <c r="W17" s="18">
        <v>7013.5760524711641</v>
      </c>
      <c r="X17" s="18">
        <v>7364.2548550947222</v>
      </c>
      <c r="Y17" s="18">
        <v>7732.4675978494588</v>
      </c>
      <c r="Z17" s="18">
        <v>8119.090977741932</v>
      </c>
      <c r="AA17" s="18">
        <v>8525.0455266290282</v>
      </c>
      <c r="AB17" s="18">
        <v>8951.2978029604801</v>
      </c>
      <c r="AC17" s="18">
        <v>9398.8626931085037</v>
      </c>
      <c r="AD17" s="18">
        <v>9868.8058277639284</v>
      </c>
      <c r="AE17" s="18">
        <v>10362.246119152125</v>
      </c>
      <c r="AF17" s="18">
        <f>AE17*(0.6)</f>
        <v>6217.3476714912749</v>
      </c>
      <c r="AG17" s="18">
        <v>6528.2150550658389</v>
      </c>
      <c r="AH17" s="18">
        <v>6854.6258078191313</v>
      </c>
      <c r="AI17" s="18">
        <v>7197.3570982100882</v>
      </c>
      <c r="AJ17" s="18">
        <v>7557.2249531205925</v>
      </c>
      <c r="AK17" s="18">
        <v>7935.0862007766227</v>
      </c>
      <c r="AL17" s="18">
        <v>8331.8405108154548</v>
      </c>
      <c r="AM17" s="18">
        <v>8748.4325363562275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v>882</v>
      </c>
      <c r="G20" s="18">
        <v>926.1</v>
      </c>
      <c r="H20" s="18">
        <v>972.40500000000009</v>
      </c>
      <c r="I20" s="18">
        <v>1021.0252500000001</v>
      </c>
      <c r="J20" s="18">
        <v>1072.0765125000003</v>
      </c>
      <c r="K20" s="18">
        <v>1125.6803381250004</v>
      </c>
      <c r="L20" s="18">
        <v>1181.9643550312505</v>
      </c>
      <c r="M20" s="18">
        <v>1241.062572782813</v>
      </c>
      <c r="N20" s="18">
        <v>1303.1157014219536</v>
      </c>
      <c r="O20" s="18">
        <v>1368.2714864930515</v>
      </c>
      <c r="P20" s="18">
        <v>1436.6850608177042</v>
      </c>
      <c r="Q20" s="18">
        <v>1508.5193138585894</v>
      </c>
      <c r="R20" s="18">
        <v>1583.945279551519</v>
      </c>
      <c r="S20" s="18">
        <v>1663.1425435290951</v>
      </c>
      <c r="T20" s="18">
        <v>1746.2996707055499</v>
      </c>
      <c r="U20" s="18">
        <v>1833.6146542408276</v>
      </c>
      <c r="V20" s="18">
        <v>1925.295386952869</v>
      </c>
      <c r="W20" s="18">
        <v>2021.5601563005125</v>
      </c>
      <c r="X20" s="18">
        <v>2122.6381641155381</v>
      </c>
      <c r="Y20" s="18">
        <v>2228.7700723213152</v>
      </c>
      <c r="Z20" s="18">
        <v>2340.2085759373808</v>
      </c>
      <c r="AA20" s="18">
        <v>2457.2190047342501</v>
      </c>
      <c r="AB20" s="18">
        <v>2580.0799549709627</v>
      </c>
      <c r="AC20" s="18">
        <v>2709.0839527195108</v>
      </c>
      <c r="AD20" s="18">
        <v>2844.5381503554863</v>
      </c>
      <c r="AE20" s="18">
        <v>2986.765057873261</v>
      </c>
      <c r="AF20" s="18">
        <v>3136.1033107669241</v>
      </c>
      <c r="AG20" s="18">
        <v>3292.9084763052706</v>
      </c>
      <c r="AH20" s="18">
        <v>3457.5539001205343</v>
      </c>
      <c r="AI20" s="18">
        <v>3630.4315951265612</v>
      </c>
      <c r="AJ20" s="18">
        <v>3811.9531748828895</v>
      </c>
      <c r="AK20" s="18">
        <v>4002.5508336270341</v>
      </c>
      <c r="AL20" s="18">
        <v>4202.6783753083855</v>
      </c>
      <c r="AM20" s="18">
        <v>4412.8122940738049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1">SUM(D22, D21, D20 + D19)</f>
        <v>800</v>
      </c>
      <c r="E23" s="19">
        <f t="shared" ref="E23:AL23" si="42">SUM(E22, E21, E20 + E19)</f>
        <v>840</v>
      </c>
      <c r="F23" s="19">
        <f t="shared" si="42"/>
        <v>882</v>
      </c>
      <c r="G23" s="19">
        <f t="shared" si="42"/>
        <v>926.1</v>
      </c>
      <c r="H23" s="19">
        <f t="shared" si="42"/>
        <v>972.40500000000009</v>
      </c>
      <c r="I23" s="19">
        <f t="shared" si="42"/>
        <v>1021.0252500000001</v>
      </c>
      <c r="J23" s="19">
        <f t="shared" si="42"/>
        <v>1072.0765125000003</v>
      </c>
      <c r="K23" s="19">
        <f t="shared" si="42"/>
        <v>1125.6803381250004</v>
      </c>
      <c r="L23" s="19">
        <f t="shared" si="42"/>
        <v>1181.9643550312505</v>
      </c>
      <c r="M23" s="19">
        <f t="shared" si="42"/>
        <v>1241.062572782813</v>
      </c>
      <c r="N23" s="19">
        <f t="shared" si="42"/>
        <v>1303.1157014219536</v>
      </c>
      <c r="O23" s="19">
        <f t="shared" si="42"/>
        <v>1368.2714864930515</v>
      </c>
      <c r="P23" s="19">
        <f t="shared" si="42"/>
        <v>1436.6850608177042</v>
      </c>
      <c r="Q23" s="19">
        <f t="shared" si="42"/>
        <v>1508.5193138585894</v>
      </c>
      <c r="R23" s="19">
        <f t="shared" si="42"/>
        <v>1583.945279551519</v>
      </c>
      <c r="S23" s="19">
        <f t="shared" si="42"/>
        <v>1663.1425435290951</v>
      </c>
      <c r="T23" s="19">
        <f t="shared" si="42"/>
        <v>1746.2996707055499</v>
      </c>
      <c r="U23" s="19">
        <f t="shared" si="42"/>
        <v>1833.6146542408276</v>
      </c>
      <c r="V23" s="19">
        <f t="shared" si="42"/>
        <v>1925.295386952869</v>
      </c>
      <c r="W23" s="19">
        <f t="shared" si="42"/>
        <v>2021.5601563005125</v>
      </c>
      <c r="X23" s="19">
        <f t="shared" si="42"/>
        <v>2122.6381641155381</v>
      </c>
      <c r="Y23" s="19">
        <f t="shared" si="42"/>
        <v>2228.7700723213152</v>
      </c>
      <c r="Z23" s="19">
        <f t="shared" si="42"/>
        <v>2340.2085759373808</v>
      </c>
      <c r="AA23" s="19">
        <f t="shared" si="42"/>
        <v>2457.2190047342501</v>
      </c>
      <c r="AB23" s="19">
        <f t="shared" si="42"/>
        <v>2580.0799549709627</v>
      </c>
      <c r="AC23" s="19">
        <f t="shared" si="42"/>
        <v>2709.0839527195108</v>
      </c>
      <c r="AD23" s="19">
        <f t="shared" si="42"/>
        <v>2844.5381503554863</v>
      </c>
      <c r="AE23" s="19">
        <f t="shared" si="42"/>
        <v>2986.765057873261</v>
      </c>
      <c r="AF23" s="19">
        <f t="shared" si="42"/>
        <v>3136.1033107669241</v>
      </c>
      <c r="AG23" s="19">
        <f t="shared" si="42"/>
        <v>3292.9084763052706</v>
      </c>
      <c r="AH23" s="19">
        <f t="shared" si="42"/>
        <v>3457.5539001205343</v>
      </c>
      <c r="AI23" s="19">
        <f t="shared" si="42"/>
        <v>3630.4315951265612</v>
      </c>
      <c r="AJ23" s="19">
        <f t="shared" si="42"/>
        <v>3811.9531748828895</v>
      </c>
      <c r="AK23" s="19">
        <f t="shared" si="42"/>
        <v>4002.5508336270341</v>
      </c>
      <c r="AL23" s="19">
        <f t="shared" si="42"/>
        <v>4202.6783753083855</v>
      </c>
      <c r="AM23" s="19">
        <f t="shared" si="41"/>
        <v>4412.8122940738049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2100</v>
      </c>
      <c r="F28" s="18">
        <v>2205</v>
      </c>
      <c r="G28" s="18">
        <v>2315.25</v>
      </c>
      <c r="H28" s="18">
        <v>2431.0125000000003</v>
      </c>
      <c r="I28" s="18">
        <v>2552.5631250000006</v>
      </c>
      <c r="J28" s="18">
        <v>2680.1912812500009</v>
      </c>
      <c r="K28" s="18">
        <v>2814.2008453125009</v>
      </c>
      <c r="L28" s="18">
        <v>2954.9108875781262</v>
      </c>
      <c r="M28" s="18">
        <v>3102.6564319570325</v>
      </c>
      <c r="N28" s="18">
        <v>3257.7892535548845</v>
      </c>
      <c r="O28" s="18">
        <v>3420.6787162326286</v>
      </c>
      <c r="P28" s="18">
        <v>3591.7126520442603</v>
      </c>
      <c r="Q28" s="18">
        <v>3771.2982846464733</v>
      </c>
      <c r="R28" s="18">
        <v>3959.863198878797</v>
      </c>
      <c r="S28" s="18">
        <v>4157.8563588227371</v>
      </c>
      <c r="T28" s="18">
        <v>4365.7491767638739</v>
      </c>
      <c r="U28" s="18">
        <v>4584.0366356020677</v>
      </c>
      <c r="V28" s="18">
        <v>4813.2384673821716</v>
      </c>
      <c r="W28" s="18">
        <v>5053.9003907512806</v>
      </c>
      <c r="X28" s="18">
        <v>5306.5954102888445</v>
      </c>
      <c r="Y28" s="18">
        <v>5571.9251808032868</v>
      </c>
      <c r="Z28" s="18">
        <v>5850.5214398434518</v>
      </c>
      <c r="AA28" s="18">
        <v>6143.0475118356244</v>
      </c>
      <c r="AB28" s="18">
        <v>6450.1998874274059</v>
      </c>
      <c r="AC28" s="18">
        <v>6772.7098817987762</v>
      </c>
      <c r="AD28" s="18">
        <v>7111.3453758887154</v>
      </c>
      <c r="AE28" s="18">
        <v>7466.9126446831515</v>
      </c>
      <c r="AF28" s="18">
        <v>7840.2582769173096</v>
      </c>
      <c r="AG28" s="18">
        <v>8232.2711907631747</v>
      </c>
      <c r="AH28" s="18">
        <v>8643.884750301333</v>
      </c>
      <c r="AI28" s="18">
        <v>9076.0789878163996</v>
      </c>
      <c r="AJ28" s="18">
        <v>9529.8829372072196</v>
      </c>
      <c r="AK28" s="18">
        <v>10006.377084067581</v>
      </c>
      <c r="AL28" s="18">
        <v>10506.695938270959</v>
      </c>
      <c r="AM28" s="18">
        <v>11032.030735184508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3">SUM(D28, D27, D26, D25 + D24)</f>
        <v>2000</v>
      </c>
      <c r="E29" s="19">
        <f t="shared" ref="E29:AL29" si="44">SUM(E28, E27, E26, E25 + E24)</f>
        <v>2100</v>
      </c>
      <c r="F29" s="19">
        <f t="shared" si="44"/>
        <v>2205</v>
      </c>
      <c r="G29" s="19">
        <f t="shared" si="44"/>
        <v>2315.25</v>
      </c>
      <c r="H29" s="19">
        <f t="shared" si="44"/>
        <v>2431.0125000000003</v>
      </c>
      <c r="I29" s="19">
        <f t="shared" si="44"/>
        <v>2552.5631250000006</v>
      </c>
      <c r="J29" s="19">
        <f t="shared" si="44"/>
        <v>2680.1912812500009</v>
      </c>
      <c r="K29" s="19">
        <f t="shared" si="44"/>
        <v>2814.2008453125009</v>
      </c>
      <c r="L29" s="19">
        <f t="shared" si="44"/>
        <v>2954.9108875781262</v>
      </c>
      <c r="M29" s="19">
        <f t="shared" si="44"/>
        <v>3102.6564319570325</v>
      </c>
      <c r="N29" s="19">
        <f t="shared" si="44"/>
        <v>3257.7892535548845</v>
      </c>
      <c r="O29" s="19">
        <f t="shared" si="44"/>
        <v>3420.6787162326286</v>
      </c>
      <c r="P29" s="19">
        <f t="shared" si="44"/>
        <v>3591.7126520442603</v>
      </c>
      <c r="Q29" s="19">
        <f t="shared" si="44"/>
        <v>3771.2982846464733</v>
      </c>
      <c r="R29" s="19">
        <f t="shared" si="44"/>
        <v>3959.863198878797</v>
      </c>
      <c r="S29" s="19">
        <f t="shared" si="44"/>
        <v>4157.8563588227371</v>
      </c>
      <c r="T29" s="19">
        <f t="shared" si="44"/>
        <v>4365.7491767638739</v>
      </c>
      <c r="U29" s="19">
        <f t="shared" si="44"/>
        <v>4584.0366356020677</v>
      </c>
      <c r="V29" s="19">
        <f t="shared" si="44"/>
        <v>4813.2384673821716</v>
      </c>
      <c r="W29" s="19">
        <f t="shared" si="44"/>
        <v>5053.9003907512806</v>
      </c>
      <c r="X29" s="19">
        <f t="shared" si="44"/>
        <v>5306.5954102888445</v>
      </c>
      <c r="Y29" s="19">
        <f t="shared" si="44"/>
        <v>5571.9251808032868</v>
      </c>
      <c r="Z29" s="19">
        <f t="shared" si="44"/>
        <v>5850.5214398434518</v>
      </c>
      <c r="AA29" s="19">
        <f t="shared" si="44"/>
        <v>6143.0475118356244</v>
      </c>
      <c r="AB29" s="19">
        <f t="shared" si="44"/>
        <v>6450.1998874274059</v>
      </c>
      <c r="AC29" s="19">
        <f t="shared" si="44"/>
        <v>6772.7098817987762</v>
      </c>
      <c r="AD29" s="19">
        <f t="shared" si="44"/>
        <v>7111.3453758887154</v>
      </c>
      <c r="AE29" s="19">
        <f t="shared" si="44"/>
        <v>7466.9126446831515</v>
      </c>
      <c r="AF29" s="19">
        <f t="shared" si="44"/>
        <v>7840.2582769173096</v>
      </c>
      <c r="AG29" s="19">
        <f t="shared" si="44"/>
        <v>8232.2711907631747</v>
      </c>
      <c r="AH29" s="19">
        <f t="shared" si="44"/>
        <v>8643.884750301333</v>
      </c>
      <c r="AI29" s="19">
        <f t="shared" si="44"/>
        <v>9076.0789878163996</v>
      </c>
      <c r="AJ29" s="19">
        <f t="shared" si="44"/>
        <v>9529.8829372072196</v>
      </c>
      <c r="AK29" s="19">
        <f t="shared" si="44"/>
        <v>10006.377084067581</v>
      </c>
      <c r="AL29" s="19">
        <f t="shared" si="44"/>
        <v>10506.695938270959</v>
      </c>
      <c r="AM29" s="19">
        <f t="shared" si="43"/>
        <v>11032.030735184508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11475</v>
      </c>
      <c r="E31" s="18">
        <v>12048.75</v>
      </c>
      <c r="F31" s="18">
        <v>12651.1875</v>
      </c>
      <c r="G31" s="18">
        <f>F31*(0.8)</f>
        <v>10120.950000000001</v>
      </c>
      <c r="H31" s="18">
        <v>10626.997500000001</v>
      </c>
      <c r="I31" s="18">
        <v>11158.347375000001</v>
      </c>
      <c r="J31" s="18">
        <v>11716.264743750002</v>
      </c>
      <c r="K31" s="18">
        <v>12302.077980937502</v>
      </c>
      <c r="L31" s="18">
        <v>12917.181879984377</v>
      </c>
      <c r="M31" s="18">
        <f>L31*(0.8)</f>
        <v>10333.745503987502</v>
      </c>
      <c r="N31" s="18">
        <v>10850.432779186878</v>
      </c>
      <c r="O31" s="18">
        <v>11392.954418146222</v>
      </c>
      <c r="P31" s="18">
        <v>11962.602139053533</v>
      </c>
      <c r="Q31" s="18">
        <v>12560.732246006211</v>
      </c>
      <c r="R31" s="18">
        <v>13188.768858306523</v>
      </c>
      <c r="S31" s="18">
        <v>13848.20730122185</v>
      </c>
      <c r="T31" s="18">
        <v>14540.617666282942</v>
      </c>
      <c r="U31" s="18">
        <f t="shared" ref="U31:V31" si="45">T31*(0.8)</f>
        <v>11632.494133026354</v>
      </c>
      <c r="V31" s="18">
        <f t="shared" si="45"/>
        <v>9305.995306421084</v>
      </c>
      <c r="W31" s="18">
        <v>9771.295071742139</v>
      </c>
      <c r="X31" s="18">
        <v>10259.859825329246</v>
      </c>
      <c r="Y31" s="18">
        <v>10772.852816595709</v>
      </c>
      <c r="Z31" s="18">
        <v>11311.495457425495</v>
      </c>
      <c r="AA31" s="18">
        <v>11877.070230296771</v>
      </c>
      <c r="AB31" s="18">
        <f>AA31*(0.8)</f>
        <v>9501.6561842374176</v>
      </c>
      <c r="AC31" s="18">
        <v>9976.7389934492894</v>
      </c>
      <c r="AD31" s="18">
        <v>10475.575943121754</v>
      </c>
      <c r="AE31" s="18">
        <v>10999.354740277842</v>
      </c>
      <c r="AF31" s="18">
        <v>11549.322477291735</v>
      </c>
      <c r="AG31" s="18">
        <v>12126.788601156322</v>
      </c>
      <c r="AH31" s="18">
        <f>AG31*(0.8)</f>
        <v>9701.4308809250579</v>
      </c>
      <c r="AI31" s="18">
        <v>10186.502424971311</v>
      </c>
      <c r="AJ31" s="18">
        <v>10695.827546219878</v>
      </c>
      <c r="AK31" s="18">
        <v>11230.618923530872</v>
      </c>
      <c r="AL31" s="18">
        <v>11792.149869707417</v>
      </c>
      <c r="AM31" s="18">
        <v>12381.757363192788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963.90000000000009</v>
      </c>
      <c r="F32" s="18">
        <v>1012.0950000000001</v>
      </c>
      <c r="G32" s="18">
        <v>1062.6997500000002</v>
      </c>
      <c r="H32" s="18">
        <v>1115.8347375000003</v>
      </c>
      <c r="I32" s="18">
        <v>1171.6264743750003</v>
      </c>
      <c r="J32" s="18">
        <f>I32*(0.75)</f>
        <v>878.7198557812502</v>
      </c>
      <c r="K32" s="18">
        <v>922.65584857031274</v>
      </c>
      <c r="L32" s="18">
        <v>968.78864099882844</v>
      </c>
      <c r="M32" s="18">
        <v>1017.2280730487699</v>
      </c>
      <c r="N32" s="18">
        <v>1068.0894767012085</v>
      </c>
      <c r="O32" s="18">
        <v>1121.493950536269</v>
      </c>
      <c r="P32" s="18">
        <v>1177.5686480630825</v>
      </c>
      <c r="Q32" s="18">
        <v>1236.4470804662367</v>
      </c>
      <c r="R32" s="18">
        <v>1298.2694344895485</v>
      </c>
      <c r="S32" s="18">
        <f>R32*(0.75)</f>
        <v>973.7020758671614</v>
      </c>
      <c r="T32" s="18">
        <v>1022.3871796605196</v>
      </c>
      <c r="U32" s="18">
        <v>1073.5065386435456</v>
      </c>
      <c r="V32" s="18">
        <v>1127.1818655757229</v>
      </c>
      <c r="W32" s="18">
        <v>1183.5409588545092</v>
      </c>
      <c r="X32" s="18">
        <v>1242.7180067972347</v>
      </c>
      <c r="Y32" s="18">
        <f>X32*(0.75)</f>
        <v>932.03850509792596</v>
      </c>
      <c r="Z32" s="18">
        <v>978.64043035282225</v>
      </c>
      <c r="AA32" s="18">
        <v>1027.5724518704635</v>
      </c>
      <c r="AB32" s="18">
        <v>1078.9510744639867</v>
      </c>
      <c r="AC32" s="18">
        <v>1132.8986281871862</v>
      </c>
      <c r="AD32" s="18">
        <v>1189.5435595965455</v>
      </c>
      <c r="AE32" s="18">
        <v>1249.0207375763728</v>
      </c>
      <c r="AF32" s="18">
        <v>1311.4717744551915</v>
      </c>
      <c r="AG32" s="18">
        <v>1377.0453631779512</v>
      </c>
      <c r="AH32" s="18">
        <v>1445.8976313368489</v>
      </c>
      <c r="AI32" s="18">
        <v>1518.1925129036915</v>
      </c>
      <c r="AJ32" s="18">
        <v>1594.1021385488762</v>
      </c>
      <c r="AK32" s="18">
        <v>1673.8072454763201</v>
      </c>
      <c r="AL32" s="18">
        <v>1757.4976077501362</v>
      </c>
      <c r="AM32" s="18">
        <v>1845.3724881376431</v>
      </c>
    </row>
    <row r="33" spans="2:39" s="17" customFormat="1" ht="21" customHeight="1" x14ac:dyDescent="0.3">
      <c r="B33" s="7" t="s">
        <v>31</v>
      </c>
      <c r="C33" s="15"/>
      <c r="D33" s="18">
        <v>1147.5</v>
      </c>
      <c r="E33" s="18">
        <f>D33*(0.75)</f>
        <v>860.625</v>
      </c>
      <c r="F33" s="18">
        <v>903.65625</v>
      </c>
      <c r="G33" s="18">
        <v>948.83906250000007</v>
      </c>
      <c r="H33" s="18">
        <v>996.28101562500012</v>
      </c>
      <c r="I33" s="18">
        <v>1046.0950664062502</v>
      </c>
      <c r="J33" s="18">
        <v>1098.3998197265628</v>
      </c>
      <c r="K33" s="18">
        <v>1153.319810712891</v>
      </c>
      <c r="L33" s="18">
        <f>K33*(0.75)</f>
        <v>864.98985803466826</v>
      </c>
      <c r="M33" s="18">
        <v>908.23935093640171</v>
      </c>
      <c r="N33" s="18">
        <v>953.65131848322187</v>
      </c>
      <c r="O33" s="18">
        <v>1001.333884407383</v>
      </c>
      <c r="P33" s="18">
        <v>1051.4005786277523</v>
      </c>
      <c r="Q33" s="18">
        <v>1103.97060755914</v>
      </c>
      <c r="R33" s="18">
        <v>1159.169137937097</v>
      </c>
      <c r="S33" s="18">
        <v>1217.1275948339519</v>
      </c>
      <c r="T33" s="18">
        <f>S33*(0.75)</f>
        <v>912.84569612546397</v>
      </c>
      <c r="U33" s="18">
        <v>958.48798093173718</v>
      </c>
      <c r="V33" s="18">
        <v>1006.4123799783241</v>
      </c>
      <c r="W33" s="18">
        <v>1056.7329989772404</v>
      </c>
      <c r="X33" s="18">
        <v>1109.5696489261024</v>
      </c>
      <c r="Y33" s="18">
        <f>X33*(0.75)</f>
        <v>832.17723669457678</v>
      </c>
      <c r="Z33" s="18">
        <v>873.7860985293056</v>
      </c>
      <c r="AA33" s="18">
        <v>917.4754034557709</v>
      </c>
      <c r="AB33" s="18">
        <v>963.34917362855947</v>
      </c>
      <c r="AC33" s="18">
        <v>1011.5166323099875</v>
      </c>
      <c r="AD33" s="18">
        <v>1062.092463925487</v>
      </c>
      <c r="AE33" s="18">
        <v>1115.1970871217613</v>
      </c>
      <c r="AF33" s="18">
        <v>1170.9569414778496</v>
      </c>
      <c r="AG33" s="18">
        <v>1229.5047885517422</v>
      </c>
      <c r="AH33" s="18">
        <v>1290.9800279793294</v>
      </c>
      <c r="AI33" s="18">
        <v>1355.5290293782959</v>
      </c>
      <c r="AJ33" s="18">
        <v>1423.3054808472109</v>
      </c>
      <c r="AK33" s="18">
        <v>1494.4707548895715</v>
      </c>
      <c r="AL33" s="18">
        <v>1569.19429263405</v>
      </c>
      <c r="AM33" s="18">
        <v>1647.6540072657526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60.243750000000006</v>
      </c>
      <c r="F34" s="18">
        <v>63.255937500000009</v>
      </c>
      <c r="G34" s="18">
        <v>66.418734375000014</v>
      </c>
      <c r="H34" s="18">
        <v>69.739671093750019</v>
      </c>
      <c r="I34" s="18">
        <v>73.226654648437517</v>
      </c>
      <c r="J34" s="18">
        <v>76.8879873808594</v>
      </c>
      <c r="K34" s="18">
        <v>80.732386749902375</v>
      </c>
      <c r="L34" s="18">
        <v>84.7690060873975</v>
      </c>
      <c r="M34" s="18">
        <v>89.007456391767377</v>
      </c>
      <c r="N34" s="18">
        <v>93.457829211355744</v>
      </c>
      <c r="O34" s="18">
        <v>98.130720671923541</v>
      </c>
      <c r="P34" s="18">
        <v>103.03725670551972</v>
      </c>
      <c r="Q34" s="18">
        <v>108.18911954079572</v>
      </c>
      <c r="R34" s="18">
        <v>113.5985755178355</v>
      </c>
      <c r="S34" s="18">
        <v>119.27850429372728</v>
      </c>
      <c r="T34" s="18">
        <v>125.24242950841365</v>
      </c>
      <c r="U34" s="18">
        <v>131.50455098383435</v>
      </c>
      <c r="V34" s="18">
        <v>138.07977853302609</v>
      </c>
      <c r="W34" s="18">
        <v>144.98376745967741</v>
      </c>
      <c r="X34" s="18">
        <v>152.23295583266128</v>
      </c>
      <c r="Y34" s="18">
        <v>159.84460362429434</v>
      </c>
      <c r="Z34" s="18">
        <v>167.83683380550906</v>
      </c>
      <c r="AA34" s="18">
        <v>176.22867549578453</v>
      </c>
      <c r="AB34" s="18">
        <v>185.04010927057377</v>
      </c>
      <c r="AC34" s="18">
        <v>194.29211473410246</v>
      </c>
      <c r="AD34" s="18">
        <v>204.00672047080758</v>
      </c>
      <c r="AE34" s="18">
        <v>214.20705649434797</v>
      </c>
      <c r="AF34" s="18">
        <v>224.91740931906537</v>
      </c>
      <c r="AG34" s="18">
        <v>236.16327978501866</v>
      </c>
      <c r="AH34" s="18">
        <v>247.9714437742696</v>
      </c>
      <c r="AI34" s="18">
        <v>260.37001596298308</v>
      </c>
      <c r="AJ34" s="18">
        <v>273.38851676113222</v>
      </c>
      <c r="AK34" s="18">
        <v>287.05794259918883</v>
      </c>
      <c r="AL34" s="18">
        <v>301.41083972914828</v>
      </c>
      <c r="AM34" s="18">
        <v>316.48138171560572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6">SUM(D35, D34, D33, D32, D31 + D30)</f>
        <v>13597.875</v>
      </c>
      <c r="E36" s="19">
        <f t="shared" ref="E36:AL36" si="47">SUM(E35, E34, E33, E32, E31 + E30)</f>
        <v>13933.518749999999</v>
      </c>
      <c r="F36" s="19">
        <f t="shared" si="47"/>
        <v>14630.194687499999</v>
      </c>
      <c r="G36" s="19">
        <f t="shared" si="47"/>
        <v>12198.907546875002</v>
      </c>
      <c r="H36" s="19">
        <f t="shared" si="47"/>
        <v>12808.852924218751</v>
      </c>
      <c r="I36" s="19">
        <f t="shared" si="47"/>
        <v>13449.295570429689</v>
      </c>
      <c r="J36" s="19">
        <f t="shared" si="47"/>
        <v>13770.272406638675</v>
      </c>
      <c r="K36" s="19">
        <f t="shared" si="47"/>
        <v>14458.786026970607</v>
      </c>
      <c r="L36" s="19">
        <f t="shared" si="47"/>
        <v>14835.729385105271</v>
      </c>
      <c r="M36" s="19">
        <f t="shared" si="47"/>
        <v>12348.220384364442</v>
      </c>
      <c r="N36" s="19">
        <f t="shared" si="47"/>
        <v>12965.631403582665</v>
      </c>
      <c r="O36" s="19">
        <f t="shared" si="47"/>
        <v>13613.912973761799</v>
      </c>
      <c r="P36" s="19">
        <f t="shared" si="47"/>
        <v>14294.608622449887</v>
      </c>
      <c r="Q36" s="19">
        <f t="shared" si="47"/>
        <v>15009.339053572385</v>
      </c>
      <c r="R36" s="19">
        <f t="shared" si="47"/>
        <v>15759.806006251005</v>
      </c>
      <c r="S36" s="19">
        <f t="shared" si="47"/>
        <v>16158.315476216691</v>
      </c>
      <c r="T36" s="19">
        <f t="shared" si="47"/>
        <v>16601.092971577338</v>
      </c>
      <c r="U36" s="19">
        <f t="shared" si="47"/>
        <v>13795.993203585471</v>
      </c>
      <c r="V36" s="19">
        <f t="shared" si="47"/>
        <v>11577.669330508157</v>
      </c>
      <c r="W36" s="19">
        <f t="shared" si="47"/>
        <v>12156.552797033566</v>
      </c>
      <c r="X36" s="19">
        <f t="shared" si="47"/>
        <v>12764.380436885243</v>
      </c>
      <c r="Y36" s="19">
        <f t="shared" si="47"/>
        <v>12696.913162012506</v>
      </c>
      <c r="Z36" s="19">
        <f t="shared" si="47"/>
        <v>13331.758820113133</v>
      </c>
      <c r="AA36" s="19">
        <f t="shared" si="47"/>
        <v>13998.34676111879</v>
      </c>
      <c r="AB36" s="19">
        <f t="shared" si="47"/>
        <v>11728.996541600538</v>
      </c>
      <c r="AC36" s="19">
        <f t="shared" si="47"/>
        <v>12315.446368680565</v>
      </c>
      <c r="AD36" s="19">
        <f t="shared" si="47"/>
        <v>12931.218687114593</v>
      </c>
      <c r="AE36" s="19">
        <f t="shared" si="47"/>
        <v>13577.779621470323</v>
      </c>
      <c r="AF36" s="19">
        <f t="shared" si="47"/>
        <v>14256.668602543841</v>
      </c>
      <c r="AG36" s="19">
        <f t="shared" si="47"/>
        <v>14969.502032671035</v>
      </c>
      <c r="AH36" s="19">
        <f t="shared" si="47"/>
        <v>12686.279984015506</v>
      </c>
      <c r="AI36" s="19">
        <f t="shared" si="47"/>
        <v>13320.593983216282</v>
      </c>
      <c r="AJ36" s="19">
        <f t="shared" si="47"/>
        <v>13986.623682377098</v>
      </c>
      <c r="AK36" s="19">
        <f t="shared" si="47"/>
        <v>14685.954866495953</v>
      </c>
      <c r="AL36" s="19">
        <f t="shared" si="47"/>
        <v>15420.252609820751</v>
      </c>
      <c r="AM36" s="19">
        <f t="shared" si="46"/>
        <v>16191.26524031179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892.5</v>
      </c>
      <c r="F39" s="18">
        <v>937.125</v>
      </c>
      <c r="G39" s="18">
        <v>983.98125000000005</v>
      </c>
      <c r="H39" s="18">
        <v>1033.1803125000001</v>
      </c>
      <c r="I39" s="18">
        <v>1084.8393281250003</v>
      </c>
      <c r="J39" s="18">
        <v>1139.0812945312503</v>
      </c>
      <c r="K39" s="18">
        <v>1196.0353592578128</v>
      </c>
      <c r="L39" s="18">
        <v>1255.8371272207035</v>
      </c>
      <c r="M39" s="18">
        <f>L39*(0.75)</f>
        <v>941.87784541552764</v>
      </c>
      <c r="N39" s="18">
        <v>988.9717376863041</v>
      </c>
      <c r="O39" s="18">
        <v>1038.4203245706194</v>
      </c>
      <c r="P39" s="18">
        <f>O39*(0.75)</f>
        <v>778.81524342796456</v>
      </c>
      <c r="Q39" s="18">
        <v>817.75600559936288</v>
      </c>
      <c r="R39" s="18">
        <v>858.64380587933101</v>
      </c>
      <c r="S39" s="18">
        <v>901.57599617329765</v>
      </c>
      <c r="T39" s="18">
        <v>946.65479598196259</v>
      </c>
      <c r="U39" s="18">
        <v>993.98753578106073</v>
      </c>
      <c r="V39" s="18">
        <v>1043.6869125701139</v>
      </c>
      <c r="W39" s="18">
        <v>1095.8712581986197</v>
      </c>
      <c r="X39" s="18">
        <v>1150.6648211085508</v>
      </c>
      <c r="Y39" s="18">
        <v>1208.1980621639784</v>
      </c>
      <c r="Z39" s="18">
        <v>1268.6079652721774</v>
      </c>
      <c r="AA39" s="18">
        <v>1332.0383635357862</v>
      </c>
      <c r="AB39" s="18">
        <v>1398.6402817125756</v>
      </c>
      <c r="AC39" s="18">
        <v>1468.5722957982046</v>
      </c>
      <c r="AD39" s="18">
        <v>1542.0009105881149</v>
      </c>
      <c r="AE39" s="18">
        <v>1619.1009561175208</v>
      </c>
      <c r="AF39" s="18">
        <v>1700.0560039233969</v>
      </c>
      <c r="AG39" s="18">
        <v>1785.058804119567</v>
      </c>
      <c r="AH39" s="18">
        <v>1874.3117443255453</v>
      </c>
      <c r="AI39" s="18">
        <v>1968.0273315418226</v>
      </c>
      <c r="AJ39" s="18">
        <v>2066.4286981189139</v>
      </c>
      <c r="AK39" s="18">
        <v>2169.7501330248597</v>
      </c>
      <c r="AL39" s="18">
        <v>2278.2376396761028</v>
      </c>
      <c r="AM39" s="18">
        <v>2392.1495216599083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630</v>
      </c>
      <c r="F40" s="18">
        <v>661.5</v>
      </c>
      <c r="G40" s="18">
        <v>694.57500000000005</v>
      </c>
      <c r="H40" s="18">
        <v>729.30375000000004</v>
      </c>
      <c r="I40" s="18">
        <v>765.76893750000011</v>
      </c>
      <c r="J40" s="18">
        <v>804.0573843750002</v>
      </c>
      <c r="K40" s="18">
        <v>844.26025359375024</v>
      </c>
      <c r="L40" s="18">
        <v>886.47326627343773</v>
      </c>
      <c r="M40" s="18">
        <v>930.79692958710962</v>
      </c>
      <c r="N40" s="18">
        <v>977.33677606646518</v>
      </c>
      <c r="O40" s="18">
        <v>1026.2036148697885</v>
      </c>
      <c r="P40" s="18">
        <v>1077.513795613278</v>
      </c>
      <c r="Q40" s="18">
        <v>1131.3894853939421</v>
      </c>
      <c r="R40" s="18">
        <v>1187.9589596636392</v>
      </c>
      <c r="S40" s="18">
        <v>1247.3569076468214</v>
      </c>
      <c r="T40" s="18">
        <v>1309.7247530291625</v>
      </c>
      <c r="U40" s="18">
        <v>1375.2109906806206</v>
      </c>
      <c r="V40" s="18">
        <v>1443.9715402146517</v>
      </c>
      <c r="W40" s="18">
        <v>1516.1701172253843</v>
      </c>
      <c r="X40" s="18">
        <v>1591.9786230866534</v>
      </c>
      <c r="Y40" s="18">
        <v>1671.5775542409863</v>
      </c>
      <c r="Z40" s="18">
        <v>1755.1564319530357</v>
      </c>
      <c r="AA40" s="18">
        <v>1842.9142535506876</v>
      </c>
      <c r="AB40" s="18">
        <v>1935.059966228222</v>
      </c>
      <c r="AC40" s="18">
        <v>2031.8129645396332</v>
      </c>
      <c r="AD40" s="18">
        <v>2133.403612766615</v>
      </c>
      <c r="AE40" s="18">
        <v>2240.0737934049457</v>
      </c>
      <c r="AF40" s="18">
        <f>AE40*(0.75)</f>
        <v>1680.0553450537093</v>
      </c>
      <c r="AG40" s="18">
        <v>1764.0581123063948</v>
      </c>
      <c r="AH40" s="18">
        <v>1852.2610179217147</v>
      </c>
      <c r="AI40" s="18">
        <v>1944.8740688178004</v>
      </c>
      <c r="AJ40" s="18">
        <v>2042.1177722586906</v>
      </c>
      <c r="AK40" s="18">
        <f>AJ40*(0.75)</f>
        <v>1531.5883291940179</v>
      </c>
      <c r="AL40" s="18">
        <v>1608.1677456537188</v>
      </c>
      <c r="AM40" s="18">
        <v>1688.5761329364047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262.5</v>
      </c>
      <c r="F41" s="18">
        <v>275.625</v>
      </c>
      <c r="G41" s="18">
        <v>289.40625</v>
      </c>
      <c r="H41" s="18">
        <v>303.87656250000003</v>
      </c>
      <c r="I41" s="18">
        <v>319.07039062500007</v>
      </c>
      <c r="J41" s="18">
        <v>335.02391015625011</v>
      </c>
      <c r="K41" s="18">
        <v>351.77510566406261</v>
      </c>
      <c r="L41" s="18">
        <v>369.36386094726578</v>
      </c>
      <c r="M41" s="18">
        <v>387.83205399462906</v>
      </c>
      <c r="N41" s="18">
        <v>407.22365669436056</v>
      </c>
      <c r="O41" s="18">
        <v>427.58483952907858</v>
      </c>
      <c r="P41" s="18">
        <v>448.96408150553253</v>
      </c>
      <c r="Q41" s="18">
        <v>471.41228558080917</v>
      </c>
      <c r="R41" s="18">
        <v>494.98289985984962</v>
      </c>
      <c r="S41" s="18">
        <v>519.73204485284214</v>
      </c>
      <c r="T41" s="18">
        <v>545.71864709548424</v>
      </c>
      <c r="U41" s="18">
        <v>573.00457945025846</v>
      </c>
      <c r="V41" s="18">
        <v>601.65480842277145</v>
      </c>
      <c r="W41" s="18">
        <v>631.73754884391008</v>
      </c>
      <c r="X41" s="18">
        <v>663.32442628610556</v>
      </c>
      <c r="Y41" s="18">
        <v>696.49064760041085</v>
      </c>
      <c r="Z41" s="18">
        <v>731.31517998043148</v>
      </c>
      <c r="AA41" s="18">
        <v>767.88093897945305</v>
      </c>
      <c r="AB41" s="18">
        <v>806.27498592842574</v>
      </c>
      <c r="AC41" s="18">
        <v>846.58873522484703</v>
      </c>
      <c r="AD41" s="18">
        <v>888.91817198608942</v>
      </c>
      <c r="AE41" s="18">
        <v>933.36408058539394</v>
      </c>
      <c r="AF41" s="18">
        <v>980.03228461466369</v>
      </c>
      <c r="AG41" s="18">
        <v>1029.0338988453968</v>
      </c>
      <c r="AH41" s="18">
        <v>1080.4855937876666</v>
      </c>
      <c r="AI41" s="18">
        <v>1134.50987347705</v>
      </c>
      <c r="AJ41" s="18">
        <v>1191.2353671509024</v>
      </c>
      <c r="AK41" s="18">
        <v>1250.7971355084476</v>
      </c>
      <c r="AL41" s="18">
        <v>1313.3369922838699</v>
      </c>
      <c r="AM41" s="18">
        <v>1379.0038418980635</v>
      </c>
    </row>
    <row r="42" spans="2:39" s="32" customFormat="1" ht="21" customHeight="1" x14ac:dyDescent="0.3">
      <c r="B42" s="28" t="s">
        <v>40</v>
      </c>
      <c r="C42" s="29"/>
      <c r="D42" s="31">
        <f t="shared" ref="D42" si="48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49">SUM(D41, D40, D39, D38, D37, D35, D34, D33, D32, D31, D30, D28, D27, D26, D25, D24, D22, D21, D20, D19, D18, D17, D16, D15, D14 + D13)</f>
        <v>44597.875</v>
      </c>
      <c r="E43" s="19">
        <f t="shared" ref="E43:AL43" si="50">SUM(E41, E40, E39, E38, E37, E35, E34, E33, E32, E31, E30, E28, E27, E26, E25, E24, E22, E21, E20, E19, E18, E17, E16, E15, E14 + E13)</f>
        <v>42658.518750000003</v>
      </c>
      <c r="F43" s="19">
        <f t="shared" si="50"/>
        <v>41641.444687499999</v>
      </c>
      <c r="G43" s="19">
        <f t="shared" si="50"/>
        <v>38355.720046875002</v>
      </c>
      <c r="H43" s="19">
        <f t="shared" si="50"/>
        <v>40273.506049218755</v>
      </c>
      <c r="I43" s="19">
        <f t="shared" si="50"/>
        <v>42287.18135167969</v>
      </c>
      <c r="J43" s="19">
        <f t="shared" si="50"/>
        <v>44050.052476951169</v>
      </c>
      <c r="K43" s="19">
        <f t="shared" si="50"/>
        <v>46252.555100798738</v>
      </c>
      <c r="L43" s="19">
        <f t="shared" si="50"/>
        <v>48219.186912624813</v>
      </c>
      <c r="M43" s="19">
        <f t="shared" si="50"/>
        <v>47024.099650093747</v>
      </c>
      <c r="N43" s="19">
        <f t="shared" si="50"/>
        <v>43687.101174010546</v>
      </c>
      <c r="O43" s="19">
        <f t="shared" si="50"/>
        <v>45871.456232711076</v>
      </c>
      <c r="P43" s="19">
        <f t="shared" si="50"/>
        <v>47853.502946975445</v>
      </c>
      <c r="Q43" s="19">
        <f t="shared" si="50"/>
        <v>50246.178094324219</v>
      </c>
      <c r="R43" s="19">
        <f t="shared" si="50"/>
        <v>52758.486999040426</v>
      </c>
      <c r="S43" s="19">
        <f t="shared" si="50"/>
        <v>50679.365737013766</v>
      </c>
      <c r="T43" s="19">
        <f t="shared" si="50"/>
        <v>52848.195745414268</v>
      </c>
      <c r="U43" s="19">
        <f t="shared" si="50"/>
        <v>51855.451116114251</v>
      </c>
      <c r="V43" s="19">
        <f t="shared" si="50"/>
        <v>51540.100138663372</v>
      </c>
      <c r="W43" s="19">
        <f t="shared" si="50"/>
        <v>47639.424804573151</v>
      </c>
      <c r="X43" s="19">
        <f t="shared" si="50"/>
        <v>50021.396044801804</v>
      </c>
      <c r="Y43" s="19">
        <f t="shared" si="50"/>
        <v>51816.7795503249</v>
      </c>
      <c r="Z43" s="19">
        <f t="shared" si="50"/>
        <v>54407.618527841143</v>
      </c>
      <c r="AA43" s="19">
        <f t="shared" si="50"/>
        <v>57127.999454233206</v>
      </c>
      <c r="AB43" s="19">
        <f t="shared" si="50"/>
        <v>57015.131869370685</v>
      </c>
      <c r="AC43" s="19">
        <f t="shared" si="50"/>
        <v>56339.904559362127</v>
      </c>
      <c r="AD43" s="19">
        <f t="shared" si="50"/>
        <v>59156.899787330243</v>
      </c>
      <c r="AE43" s="19">
        <f t="shared" si="50"/>
        <v>58969.504450636909</v>
      </c>
      <c r="AF43" s="19">
        <f t="shared" si="50"/>
        <v>56582.946781528823</v>
      </c>
      <c r="AG43" s="19">
        <f t="shared" si="50"/>
        <v>59412.094120605259</v>
      </c>
      <c r="AH43" s="19">
        <f t="shared" si="50"/>
        <v>56136.610072289608</v>
      </c>
      <c r="AI43" s="19">
        <f t="shared" si="50"/>
        <v>58943.440575904089</v>
      </c>
      <c r="AJ43" s="19">
        <f t="shared" si="50"/>
        <v>61890.612604699294</v>
      </c>
      <c r="AK43" s="19">
        <f t="shared" si="50"/>
        <v>64372.507903256657</v>
      </c>
      <c r="AL43" s="19">
        <f t="shared" si="50"/>
        <v>64800.338237934768</v>
      </c>
      <c r="AM43" s="19">
        <f t="shared" si="49"/>
        <v>64499.819956108076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1">D12-D43</f>
        <v>-44597.875</v>
      </c>
      <c r="E44" s="23">
        <f t="shared" ref="E44:AL44" si="52">E12-E43</f>
        <v>-42658.518750000003</v>
      </c>
      <c r="F44" s="23">
        <f t="shared" si="52"/>
        <v>-41641.444687499999</v>
      </c>
      <c r="G44" s="23">
        <f t="shared" si="52"/>
        <v>-38355.720046875002</v>
      </c>
      <c r="H44" s="23">
        <f t="shared" si="52"/>
        <v>-40273.506049218755</v>
      </c>
      <c r="I44" s="23">
        <f t="shared" si="52"/>
        <v>-42287.18135167969</v>
      </c>
      <c r="J44" s="23">
        <f t="shared" si="52"/>
        <v>-44050.052476951169</v>
      </c>
      <c r="K44" s="23">
        <f t="shared" si="52"/>
        <v>-46252.555100798738</v>
      </c>
      <c r="L44" s="23">
        <f t="shared" si="52"/>
        <v>-48219.186912624813</v>
      </c>
      <c r="M44" s="23">
        <f t="shared" si="52"/>
        <v>-47024.099650093747</v>
      </c>
      <c r="N44" s="23">
        <f t="shared" si="52"/>
        <v>-43687.101174010546</v>
      </c>
      <c r="O44" s="23">
        <f t="shared" si="52"/>
        <v>-45871.456232711076</v>
      </c>
      <c r="P44" s="23">
        <f t="shared" si="52"/>
        <v>-47853.502946975445</v>
      </c>
      <c r="Q44" s="23">
        <f t="shared" si="52"/>
        <v>-50246.178094324219</v>
      </c>
      <c r="R44" s="23">
        <f t="shared" si="52"/>
        <v>-52758.486999040426</v>
      </c>
      <c r="S44" s="23">
        <f t="shared" si="52"/>
        <v>-50679.365737013766</v>
      </c>
      <c r="T44" s="23">
        <f t="shared" si="52"/>
        <v>-52848.195745414268</v>
      </c>
      <c r="U44" s="23">
        <f t="shared" si="52"/>
        <v>-51855.451116114251</v>
      </c>
      <c r="V44" s="23">
        <f t="shared" si="52"/>
        <v>-51540.100138663372</v>
      </c>
      <c r="W44" s="23">
        <f t="shared" si="52"/>
        <v>-47639.424804573151</v>
      </c>
      <c r="X44" s="23">
        <f t="shared" si="52"/>
        <v>-50021.396044801804</v>
      </c>
      <c r="Y44" s="23">
        <f t="shared" si="52"/>
        <v>-51816.7795503249</v>
      </c>
      <c r="Z44" s="23">
        <f t="shared" si="52"/>
        <v>-54407.618527841143</v>
      </c>
      <c r="AA44" s="23">
        <f t="shared" si="52"/>
        <v>-57127.999454233206</v>
      </c>
      <c r="AB44" s="23">
        <f t="shared" si="52"/>
        <v>-57015.131869370685</v>
      </c>
      <c r="AC44" s="23">
        <f t="shared" si="52"/>
        <v>-56339.904559362127</v>
      </c>
      <c r="AD44" s="23">
        <f t="shared" si="52"/>
        <v>-59156.899787330243</v>
      </c>
      <c r="AE44" s="23">
        <f t="shared" si="52"/>
        <v>-58969.504450636909</v>
      </c>
      <c r="AF44" s="23">
        <f t="shared" si="52"/>
        <v>-56582.946781528823</v>
      </c>
      <c r="AG44" s="23">
        <f t="shared" si="52"/>
        <v>-59412.094120605259</v>
      </c>
      <c r="AH44" s="23">
        <f t="shared" si="52"/>
        <v>-56136.610072289608</v>
      </c>
      <c r="AI44" s="23">
        <f t="shared" si="52"/>
        <v>-58943.440575904089</v>
      </c>
      <c r="AJ44" s="23">
        <f t="shared" si="52"/>
        <v>-61890.612604699294</v>
      </c>
      <c r="AK44" s="23">
        <f t="shared" si="52"/>
        <v>-64372.507903256657</v>
      </c>
      <c r="AL44" s="23">
        <f t="shared" si="52"/>
        <v>-64800.338237934768</v>
      </c>
      <c r="AM44" s="23">
        <f t="shared" si="51"/>
        <v>-64499.819956108076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3">SUM(D46 + D45)</f>
        <v>0</v>
      </c>
      <c r="E47" s="19">
        <f t="shared" si="53"/>
        <v>0</v>
      </c>
      <c r="F47" s="19">
        <f t="shared" si="53"/>
        <v>0</v>
      </c>
      <c r="G47" s="19">
        <f t="shared" si="53"/>
        <v>0</v>
      </c>
      <c r="H47" s="19">
        <f t="shared" si="53"/>
        <v>0</v>
      </c>
      <c r="I47" s="19">
        <f t="shared" si="53"/>
        <v>0</v>
      </c>
      <c r="J47" s="19">
        <f t="shared" si="53"/>
        <v>0</v>
      </c>
      <c r="K47" s="19">
        <f t="shared" si="53"/>
        <v>0</v>
      </c>
      <c r="L47" s="19">
        <f t="shared" si="53"/>
        <v>0</v>
      </c>
      <c r="M47" s="19">
        <f t="shared" si="53"/>
        <v>0</v>
      </c>
      <c r="N47" s="19">
        <f t="shared" si="53"/>
        <v>0</v>
      </c>
      <c r="O47" s="19">
        <f t="shared" si="53"/>
        <v>0</v>
      </c>
      <c r="P47" s="19">
        <f t="shared" si="53"/>
        <v>0</v>
      </c>
      <c r="Q47" s="19">
        <f t="shared" si="53"/>
        <v>0</v>
      </c>
      <c r="R47" s="19">
        <f t="shared" si="53"/>
        <v>0</v>
      </c>
      <c r="S47" s="19">
        <f t="shared" si="53"/>
        <v>0</v>
      </c>
      <c r="T47" s="19">
        <f t="shared" si="53"/>
        <v>0</v>
      </c>
      <c r="U47" s="19">
        <f t="shared" si="53"/>
        <v>0</v>
      </c>
      <c r="V47" s="19">
        <f t="shared" si="53"/>
        <v>0</v>
      </c>
      <c r="W47" s="19">
        <f t="shared" si="53"/>
        <v>0</v>
      </c>
      <c r="X47" s="19">
        <f t="shared" si="53"/>
        <v>0</v>
      </c>
      <c r="Y47" s="19">
        <f t="shared" si="53"/>
        <v>0</v>
      </c>
      <c r="Z47" s="19">
        <f t="shared" si="53"/>
        <v>0</v>
      </c>
      <c r="AA47" s="19">
        <f t="shared" si="53"/>
        <v>0</v>
      </c>
      <c r="AB47" s="19">
        <f t="shared" si="53"/>
        <v>0</v>
      </c>
      <c r="AC47" s="19">
        <f t="shared" si="53"/>
        <v>0</v>
      </c>
      <c r="AD47" s="19">
        <f t="shared" si="53"/>
        <v>0</v>
      </c>
      <c r="AE47" s="19">
        <f t="shared" si="53"/>
        <v>0</v>
      </c>
      <c r="AF47" s="19">
        <f t="shared" si="53"/>
        <v>0</v>
      </c>
      <c r="AG47" s="19">
        <f t="shared" si="53"/>
        <v>0</v>
      </c>
      <c r="AH47" s="19">
        <f t="shared" si="53"/>
        <v>0</v>
      </c>
      <c r="AI47" s="19">
        <f t="shared" si="53"/>
        <v>0</v>
      </c>
      <c r="AJ47" s="19">
        <f t="shared" si="53"/>
        <v>0</v>
      </c>
      <c r="AK47" s="19">
        <f t="shared" si="53"/>
        <v>0</v>
      </c>
      <c r="AL47" s="19">
        <f t="shared" si="53"/>
        <v>0</v>
      </c>
      <c r="AM47" s="19">
        <f t="shared" ref="AM47" si="5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5">SUM(D50, D49 + D48)</f>
        <v>0</v>
      </c>
      <c r="E51" s="19">
        <f t="shared" ref="E51:AL51" si="56">SUM(E50, E49 + E48)</f>
        <v>0</v>
      </c>
      <c r="F51" s="19">
        <f t="shared" si="56"/>
        <v>0</v>
      </c>
      <c r="G51" s="19">
        <f t="shared" si="56"/>
        <v>0</v>
      </c>
      <c r="H51" s="19">
        <f t="shared" si="56"/>
        <v>0</v>
      </c>
      <c r="I51" s="19">
        <f t="shared" si="56"/>
        <v>0</v>
      </c>
      <c r="J51" s="19">
        <f t="shared" si="56"/>
        <v>0</v>
      </c>
      <c r="K51" s="19">
        <f t="shared" si="56"/>
        <v>0</v>
      </c>
      <c r="L51" s="19">
        <f t="shared" si="56"/>
        <v>0</v>
      </c>
      <c r="M51" s="19">
        <f t="shared" si="56"/>
        <v>0</v>
      </c>
      <c r="N51" s="19">
        <f t="shared" si="56"/>
        <v>0</v>
      </c>
      <c r="O51" s="19">
        <f t="shared" si="56"/>
        <v>0</v>
      </c>
      <c r="P51" s="19">
        <f t="shared" si="56"/>
        <v>0</v>
      </c>
      <c r="Q51" s="19">
        <f t="shared" si="56"/>
        <v>0</v>
      </c>
      <c r="R51" s="19">
        <f t="shared" si="56"/>
        <v>0</v>
      </c>
      <c r="S51" s="19">
        <f t="shared" si="56"/>
        <v>0</v>
      </c>
      <c r="T51" s="19">
        <f t="shared" si="56"/>
        <v>0</v>
      </c>
      <c r="U51" s="19">
        <f t="shared" si="56"/>
        <v>0</v>
      </c>
      <c r="V51" s="19">
        <f t="shared" si="56"/>
        <v>0</v>
      </c>
      <c r="W51" s="19">
        <f t="shared" si="56"/>
        <v>0</v>
      </c>
      <c r="X51" s="19">
        <f t="shared" si="56"/>
        <v>0</v>
      </c>
      <c r="Y51" s="19">
        <f t="shared" si="56"/>
        <v>0</v>
      </c>
      <c r="Z51" s="19">
        <f t="shared" si="56"/>
        <v>0</v>
      </c>
      <c r="AA51" s="19">
        <f t="shared" si="56"/>
        <v>0</v>
      </c>
      <c r="AB51" s="19">
        <f t="shared" si="56"/>
        <v>0</v>
      </c>
      <c r="AC51" s="19">
        <f t="shared" si="56"/>
        <v>0</v>
      </c>
      <c r="AD51" s="19">
        <f t="shared" si="56"/>
        <v>0</v>
      </c>
      <c r="AE51" s="19">
        <f t="shared" si="56"/>
        <v>0</v>
      </c>
      <c r="AF51" s="19">
        <f t="shared" si="56"/>
        <v>0</v>
      </c>
      <c r="AG51" s="19">
        <f t="shared" si="56"/>
        <v>0</v>
      </c>
      <c r="AH51" s="19">
        <f t="shared" si="56"/>
        <v>0</v>
      </c>
      <c r="AI51" s="19">
        <f t="shared" si="56"/>
        <v>0</v>
      </c>
      <c r="AJ51" s="19">
        <f t="shared" si="56"/>
        <v>0</v>
      </c>
      <c r="AK51" s="19">
        <f t="shared" si="56"/>
        <v>0</v>
      </c>
      <c r="AL51" s="19">
        <f t="shared" si="56"/>
        <v>0</v>
      </c>
      <c r="AM51" s="19">
        <f t="shared" si="5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7">D47-D51</f>
        <v>0</v>
      </c>
      <c r="E52" s="23">
        <f t="shared" ref="E52:AL52" si="58">E47-E51</f>
        <v>0</v>
      </c>
      <c r="F52" s="23">
        <f t="shared" si="58"/>
        <v>0</v>
      </c>
      <c r="G52" s="23">
        <f t="shared" si="58"/>
        <v>0</v>
      </c>
      <c r="H52" s="23">
        <f t="shared" si="58"/>
        <v>0</v>
      </c>
      <c r="I52" s="23">
        <f t="shared" si="58"/>
        <v>0</v>
      </c>
      <c r="J52" s="23">
        <f t="shared" si="58"/>
        <v>0</v>
      </c>
      <c r="K52" s="23">
        <f t="shared" si="58"/>
        <v>0</v>
      </c>
      <c r="L52" s="23">
        <f t="shared" si="58"/>
        <v>0</v>
      </c>
      <c r="M52" s="23">
        <f t="shared" si="58"/>
        <v>0</v>
      </c>
      <c r="N52" s="23">
        <f t="shared" si="58"/>
        <v>0</v>
      </c>
      <c r="O52" s="23">
        <f t="shared" si="58"/>
        <v>0</v>
      </c>
      <c r="P52" s="23">
        <f t="shared" si="58"/>
        <v>0</v>
      </c>
      <c r="Q52" s="23">
        <f t="shared" si="58"/>
        <v>0</v>
      </c>
      <c r="R52" s="23">
        <f t="shared" si="58"/>
        <v>0</v>
      </c>
      <c r="S52" s="23">
        <f t="shared" si="58"/>
        <v>0</v>
      </c>
      <c r="T52" s="23">
        <f t="shared" si="58"/>
        <v>0</v>
      </c>
      <c r="U52" s="23">
        <f t="shared" si="58"/>
        <v>0</v>
      </c>
      <c r="V52" s="23">
        <f t="shared" si="58"/>
        <v>0</v>
      </c>
      <c r="W52" s="23">
        <f t="shared" si="58"/>
        <v>0</v>
      </c>
      <c r="X52" s="23">
        <f t="shared" si="58"/>
        <v>0</v>
      </c>
      <c r="Y52" s="23">
        <f t="shared" si="58"/>
        <v>0</v>
      </c>
      <c r="Z52" s="23">
        <f t="shared" si="58"/>
        <v>0</v>
      </c>
      <c r="AA52" s="23">
        <f t="shared" si="58"/>
        <v>0</v>
      </c>
      <c r="AB52" s="23">
        <f t="shared" si="58"/>
        <v>0</v>
      </c>
      <c r="AC52" s="23">
        <f t="shared" si="58"/>
        <v>0</v>
      </c>
      <c r="AD52" s="23">
        <f t="shared" si="58"/>
        <v>0</v>
      </c>
      <c r="AE52" s="23">
        <f t="shared" si="58"/>
        <v>0</v>
      </c>
      <c r="AF52" s="23">
        <f t="shared" si="58"/>
        <v>0</v>
      </c>
      <c r="AG52" s="23">
        <f t="shared" si="58"/>
        <v>0</v>
      </c>
      <c r="AH52" s="23">
        <f t="shared" si="58"/>
        <v>0</v>
      </c>
      <c r="AI52" s="23">
        <f t="shared" si="58"/>
        <v>0</v>
      </c>
      <c r="AJ52" s="23">
        <f t="shared" si="58"/>
        <v>0</v>
      </c>
      <c r="AK52" s="23">
        <f t="shared" si="58"/>
        <v>0</v>
      </c>
      <c r="AL52" s="23">
        <f t="shared" si="58"/>
        <v>0</v>
      </c>
      <c r="AM52" s="23">
        <f t="shared" si="5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59">D44+D52</f>
        <v>-44597.875</v>
      </c>
      <c r="E53" s="23">
        <f t="shared" ref="E53:AL53" si="60">E44+E52</f>
        <v>-42658.518750000003</v>
      </c>
      <c r="F53" s="23">
        <f t="shared" si="60"/>
        <v>-41641.444687499999</v>
      </c>
      <c r="G53" s="23">
        <f t="shared" si="60"/>
        <v>-38355.720046875002</v>
      </c>
      <c r="H53" s="23">
        <f t="shared" si="60"/>
        <v>-40273.506049218755</v>
      </c>
      <c r="I53" s="23">
        <f t="shared" si="60"/>
        <v>-42287.18135167969</v>
      </c>
      <c r="J53" s="23">
        <f t="shared" si="60"/>
        <v>-44050.052476951169</v>
      </c>
      <c r="K53" s="23">
        <f t="shared" si="60"/>
        <v>-46252.555100798738</v>
      </c>
      <c r="L53" s="23">
        <f t="shared" si="60"/>
        <v>-48219.186912624813</v>
      </c>
      <c r="M53" s="23">
        <f t="shared" si="60"/>
        <v>-47024.099650093747</v>
      </c>
      <c r="N53" s="23">
        <f t="shared" si="60"/>
        <v>-43687.101174010546</v>
      </c>
      <c r="O53" s="23">
        <f t="shared" si="60"/>
        <v>-45871.456232711076</v>
      </c>
      <c r="P53" s="23">
        <f t="shared" si="60"/>
        <v>-47853.502946975445</v>
      </c>
      <c r="Q53" s="23">
        <f t="shared" si="60"/>
        <v>-50246.178094324219</v>
      </c>
      <c r="R53" s="23">
        <f t="shared" si="60"/>
        <v>-52758.486999040426</v>
      </c>
      <c r="S53" s="23">
        <f t="shared" si="60"/>
        <v>-50679.365737013766</v>
      </c>
      <c r="T53" s="23">
        <f t="shared" si="60"/>
        <v>-52848.195745414268</v>
      </c>
      <c r="U53" s="23">
        <f t="shared" si="60"/>
        <v>-51855.451116114251</v>
      </c>
      <c r="V53" s="23">
        <f t="shared" si="60"/>
        <v>-51540.100138663372</v>
      </c>
      <c r="W53" s="23">
        <f t="shared" si="60"/>
        <v>-47639.424804573151</v>
      </c>
      <c r="X53" s="23">
        <f t="shared" si="60"/>
        <v>-50021.396044801804</v>
      </c>
      <c r="Y53" s="23">
        <f t="shared" si="60"/>
        <v>-51816.7795503249</v>
      </c>
      <c r="Z53" s="23">
        <f t="shared" si="60"/>
        <v>-54407.618527841143</v>
      </c>
      <c r="AA53" s="23">
        <f t="shared" si="60"/>
        <v>-57127.999454233206</v>
      </c>
      <c r="AB53" s="23">
        <f t="shared" si="60"/>
        <v>-57015.131869370685</v>
      </c>
      <c r="AC53" s="23">
        <f t="shared" si="60"/>
        <v>-56339.904559362127</v>
      </c>
      <c r="AD53" s="23">
        <f t="shared" si="60"/>
        <v>-59156.899787330243</v>
      </c>
      <c r="AE53" s="23">
        <f t="shared" si="60"/>
        <v>-58969.504450636909</v>
      </c>
      <c r="AF53" s="23">
        <f t="shared" si="60"/>
        <v>-56582.946781528823</v>
      </c>
      <c r="AG53" s="23">
        <f t="shared" si="60"/>
        <v>-59412.094120605259</v>
      </c>
      <c r="AH53" s="23">
        <f t="shared" si="60"/>
        <v>-56136.610072289608</v>
      </c>
      <c r="AI53" s="23">
        <f t="shared" si="60"/>
        <v>-58943.440575904089</v>
      </c>
      <c r="AJ53" s="23">
        <f t="shared" si="60"/>
        <v>-61890.612604699294</v>
      </c>
      <c r="AK53" s="23">
        <f t="shared" si="60"/>
        <v>-64372.507903256657</v>
      </c>
      <c r="AL53" s="23">
        <f t="shared" si="60"/>
        <v>-64800.338237934768</v>
      </c>
      <c r="AM53" s="23">
        <f t="shared" si="59"/>
        <v>-64499.819956108076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A1A07EA2-0070-4024-97E9-A5A460CBE710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113.xml>��
</file>

<file path=customXml/item114.xml>��
</file>

<file path=customXml/item115.xml>��
</file>

<file path=customXml/item116.xml>��
</file>

<file path=customXml/item117.xml>��
</file>

<file path=customXml/item1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AE67CE2B7A849BC0898B7A9D77711" ma:contentTypeVersion="14" ma:contentTypeDescription="Create a new document." ma:contentTypeScope="" ma:versionID="d6458b059dbca9816b91ad0a6e572306">
  <xsd:schema xmlns:xsd="http://www.w3.org/2001/XMLSchema" xmlns:xs="http://www.w3.org/2001/XMLSchema" xmlns:p="http://schemas.microsoft.com/office/2006/metadata/properties" xmlns:ns2="0d1267e8-2087-4430-8898-7e1d16711490" xmlns:ns3="16457750-3f8d-456e-a162-25cda7a13520" targetNamespace="http://schemas.microsoft.com/office/2006/metadata/properties" ma:root="true" ma:fieldsID="deb7608bc644ba2d4e95da7c175a7487" ns2:_="" ns3:_="">
    <xsd:import namespace="0d1267e8-2087-4430-8898-7e1d16711490"/>
    <xsd:import namespace="16457750-3f8d-456e-a162-25cda7a135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267e8-2087-4430-8898-7e1d16711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df17195-eaee-4bd6-9581-c6a1c63b19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57750-3f8d-456e-a162-25cda7a1352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87162f-81e1-443d-83c7-e94abc82f638}" ma:internalName="TaxCatchAll" ma:showField="CatchAllData" ma:web="16457750-3f8d-456e-a162-25cda7a135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9.xml>��
</file>

<file path=customXml/item120.xml>��
</file>

<file path=customXml/item121.xml>��
</file>

<file path=customXml/item122.xml>��
</file>

<file path=customXml/item123.xml>��
</file>

<file path=customXml/item124.xml>��
</file>

<file path=customXml/item125.xml>��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
</file>

<file path=customXml/item132.xml>��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
</file>

<file path=customXml/item139.xml>��
</file>

<file path=customXml/item140.xml>��
</file>

<file path=customXml/item141.xml>��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
</file>

<file path=customXml/item16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267e8-2087-4430-8898-7e1d16711490">
      <Terms xmlns="http://schemas.microsoft.com/office/infopath/2007/PartnerControls"/>
    </lcf76f155ced4ddcb4097134ff3c332f>
    <TaxCatchAll xmlns="16457750-3f8d-456e-a162-25cda7a13520" xsi:nil="true"/>
  </documentManagement>
</p:properties>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
</file>

<file path=customXml/item176.xml>��
</file>

<file path=customXml/item177.xml>��
</file>

<file path=customXml/item178.xml>��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
</file>

<file path=customXml/item186.xml>��
</file>

<file path=customXml/item187.xml>��
</file>

<file path=customXml/item188.xml>��
</file>

<file path=customXml/itemProps1.xml><?xml version="1.0" encoding="utf-8"?>
<ds:datastoreItem xmlns:ds="http://schemas.openxmlformats.org/officeDocument/2006/customXml" ds:itemID="{F109AB7A-844B-435D-8A53-322F1BAD8B9A}">
  <ds:schemaRefs>
    <ds:schemaRef ds:uri="http://gemini/pivotcustomization/TableXML_Departmental Profit Loss_72469cf3-d374-4c6c-8d3f-44e6e4c89a0c"/>
  </ds:schemaRefs>
</ds:datastoreItem>
</file>

<file path=customXml/itemProps2.xml><?xml version="1.0" encoding="utf-8"?>
<ds:datastoreItem xmlns:ds="http://schemas.openxmlformats.org/officeDocument/2006/customXml" ds:itemID="{B02C3148-4115-4D71-A78B-5BE0027C137B}">
  <ds:schemaRefs>
    <ds:schemaRef ds:uri="http://gemini/pivotcustomization/TableXML_Predefined_Dates"/>
  </ds:schemaRefs>
</ds:datastoreItem>
</file>

<file path=customXml/itemProps3.xml><?xml version="1.0" encoding="utf-8"?>
<ds:datastoreItem xmlns:ds="http://schemas.openxmlformats.org/officeDocument/2006/customXml" ds:itemID="{6443C691-A363-43EF-9080-46637EEC56C2}">
  <ds:schemaRefs>
    <ds:schemaRef ds:uri="http://gemini/pivotcustomization/TableXML_Departmental Profit Loss_72469cf3-d374-4c6c-8d3f-44e6e4c89a0c"/>
  </ds:schemaRefs>
</ds:datastoreItem>
</file>

<file path=customXml/itemProps4.xml><?xml version="1.0" encoding="utf-8"?>
<ds:datastoreItem xmlns:ds="http://schemas.openxmlformats.org/officeDocument/2006/customXml" ds:itemID="{01F5434B-D23C-4BB2-9451-108FBBA943E0}">
  <ds:schemaRefs>
    <ds:schemaRef ds:uri="http://gemini/pivotcustomization/ec6e42c7-ab2c-4b78-8ee6-1a81fbd593c7"/>
  </ds:schemaRefs>
</ds:datastoreItem>
</file>

<file path=customXml/itemProps5.xml><?xml version="1.0" encoding="utf-8"?>
<ds:datastoreItem xmlns:ds="http://schemas.openxmlformats.org/officeDocument/2006/customXml" ds:itemID="{FB9D61BE-13C3-4E1F-BD59-5621CAF50C59}">
  <ds:schemaRefs>
    <ds:schemaRef ds:uri="http://gemini/pivotcustomization/TableXML_Departmental Profit Loss_Budget_5725de27-a7a3-4ab3-b0ba-d0f172ac636f"/>
  </ds:schemaRefs>
</ds:datastoreItem>
</file>

<file path=customXml/itemProps6.xml><?xml version="1.0" encoding="utf-8"?>
<ds:datastoreItem xmlns:ds="http://schemas.openxmlformats.org/officeDocument/2006/customXml" ds:itemID="{E2E42491-895C-4BD7-AA35-17D469537104}">
  <ds:schemaRefs>
    <ds:schemaRef ds:uri="http://gemini/pivotcustomization/TableXML_Departmental Profit Loss_72469cf3-d374-4c6c-8d3f-44e6e4c89a0c"/>
  </ds:schemaRefs>
</ds:datastoreItem>
</file>

<file path=customXml/itemProps7.xml><?xml version="1.0" encoding="utf-8"?>
<ds:datastoreItem xmlns:ds="http://schemas.openxmlformats.org/officeDocument/2006/customXml" ds:itemID="{7144BF98-060A-49FF-BABA-53025CAE1068}">
  <ds:schemaRefs>
    <ds:schemaRef ds:uri="http://gemini/pivotcustomization/Diagrams"/>
  </ds:schemaRefs>
</ds:datastoreItem>
</file>

<file path=customXml/itemProps8.xml><?xml version="1.0" encoding="utf-8"?>
<ds:datastoreItem xmlns:ds="http://schemas.openxmlformats.org/officeDocument/2006/customXml" ds:itemID="{3D52F66B-6359-4F24-AFC5-264A4C136ECD}">
  <ds:schemaRefs>
    <ds:schemaRef ds:uri="http://gemini/pivotcustomization/TableXML_Departmental Profit Loss_72469cf3-d374-4c6c-8d3f-44e6e4c89a0c"/>
  </ds:schemaRefs>
</ds:datastoreItem>
</file>

<file path=customXml/itemProps9.xml><?xml version="1.0" encoding="utf-8"?>
<ds:datastoreItem xmlns:ds="http://schemas.openxmlformats.org/officeDocument/2006/customXml" ds:itemID="{FE709E16-4AE6-4F73-9FFE-0C15AFDACF84}">
  <ds:schemaRefs>
    <ds:schemaRef ds:uri="http://gemini/pivotcustomization/TableXML_Departmental Profit Loss_Budget_5725de27-a7a3-4ab3-b0ba-d0f172ac636f"/>
  </ds:schemaRefs>
</ds:datastoreItem>
</file>

<file path=customXml/itemProps10.xml><?xml version="1.0" encoding="utf-8"?>
<ds:datastoreItem xmlns:ds="http://schemas.openxmlformats.org/officeDocument/2006/customXml" ds:itemID="{501D5594-022B-4DAD-B84E-C26DE8368A9F}">
  <ds:schemaRefs>
    <ds:schemaRef ds:uri="http://gemini/pivotcustomization/TableXML_Departmental Profit Loss_72469cf3-d374-4c6c-8d3f-44e6e4c89a0c"/>
  </ds:schemaRefs>
</ds:datastoreItem>
</file>

<file path=customXml/itemProps11.xml><?xml version="1.0" encoding="utf-8"?>
<ds:datastoreItem xmlns:ds="http://schemas.openxmlformats.org/officeDocument/2006/customXml" ds:itemID="{F8C0BC3C-9C39-49F5-836F-BE4C049151A5}">
  <ds:schemaRefs>
    <ds:schemaRef ds:uri="http://gemini/pivotcustomization/MeasureGridState"/>
  </ds:schemaRefs>
</ds:datastoreItem>
</file>

<file path=customXml/itemProps12.xml><?xml version="1.0" encoding="utf-8"?>
<ds:datastoreItem xmlns:ds="http://schemas.openxmlformats.org/officeDocument/2006/customXml" ds:itemID="{E3EFE5FA-7F91-4211-B718-D358A90E9275}">
  <ds:schemaRefs>
    <ds:schemaRef ds:uri="http://gemini/pivotcustomization/TableXML_Departmental Profit Loss_72469cf3-d374-4c6c-8d3f-44e6e4c89a0c"/>
  </ds:schemaRefs>
</ds:datastoreItem>
</file>

<file path=customXml/itemProps13.xml><?xml version="1.0" encoding="utf-8"?>
<ds:datastoreItem xmlns:ds="http://schemas.openxmlformats.org/officeDocument/2006/customXml" ds:itemID="{03E40952-0BDA-474D-95A5-0D394E458671}">
  <ds:schemaRefs>
    <ds:schemaRef ds:uri="http://gemini/pivotcustomization/TableXML_Departmental Profit Loss_Budget_5725de27-a7a3-4ab3-b0ba-d0f172ac636f"/>
  </ds:schemaRefs>
</ds:datastoreItem>
</file>

<file path=customXml/itemProps14.xml><?xml version="1.0" encoding="utf-8"?>
<ds:datastoreItem xmlns:ds="http://schemas.openxmlformats.org/officeDocument/2006/customXml" ds:itemID="{5EF9AD49-1105-4046-9637-514CB40C83BE}">
  <ds:schemaRefs>
    <ds:schemaRef ds:uri="http://gemini/pivotcustomization/TableXML_Departmental Profit Loss_72469cf3-d374-4c6c-8d3f-44e6e4c89a0c"/>
  </ds:schemaRefs>
</ds:datastoreItem>
</file>

<file path=customXml/itemProps15.xml><?xml version="1.0" encoding="utf-8"?>
<ds:datastoreItem xmlns:ds="http://schemas.openxmlformats.org/officeDocument/2006/customXml" ds:itemID="{463D807B-B2F6-4DC6-A1D4-143CB269E131}">
  <ds:schemaRefs>
    <ds:schemaRef ds:uri="http://gemini/pivotcustomization/TableXML_Departmental Profit Loss_72469cf3-d374-4c6c-8d3f-44e6e4c89a0c"/>
  </ds:schemaRefs>
</ds:datastoreItem>
</file>

<file path=customXml/itemProps16.xml><?xml version="1.0" encoding="utf-8"?>
<ds:datastoreItem xmlns:ds="http://schemas.openxmlformats.org/officeDocument/2006/customXml" ds:itemID="{693DCAC0-74C6-4B2B-98D3-37BE17DE91AE}">
  <ds:schemaRefs>
    <ds:schemaRef ds:uri="http://gemini/pivotcustomization/TableXML_Departmental Profit Loss_72469cf3-d374-4c6c-8d3f-44e6e4c89a0c"/>
  </ds:schemaRefs>
</ds:datastoreItem>
</file>

<file path=customXml/itemProps17.xml><?xml version="1.0" encoding="utf-8"?>
<ds:datastoreItem xmlns:ds="http://schemas.openxmlformats.org/officeDocument/2006/customXml" ds:itemID="{BE701CDC-D128-4026-BC50-EABDF2E20BB3}">
  <ds:schemaRefs>
    <ds:schemaRef ds:uri="http://gemini/pivotcustomization/TableXML_Departmental Profit Loss_72469cf3-d374-4c6c-8d3f-44e6e4c89a0c"/>
  </ds:schemaRefs>
</ds:datastoreItem>
</file>

<file path=customXml/itemProps18.xml><?xml version="1.0" encoding="utf-8"?>
<ds:datastoreItem xmlns:ds="http://schemas.openxmlformats.org/officeDocument/2006/customXml" ds:itemID="{3AB0721A-11AE-4B4D-AA27-F137C571C4DD}">
  <ds:schemaRefs>
    <ds:schemaRef ds:uri="http://gemini/pivotcustomization/TableXML_Departmental Profit Loss_72469cf3-d374-4c6c-8d3f-44e6e4c89a0c"/>
  </ds:schemaRefs>
</ds:datastoreItem>
</file>

<file path=customXml/itemProps19.xml><?xml version="1.0" encoding="utf-8"?>
<ds:datastoreItem xmlns:ds="http://schemas.openxmlformats.org/officeDocument/2006/customXml" ds:itemID="{EA9BBBB3-AD87-4AC3-B1A3-113810E54897}">
  <ds:schemaRefs>
    <ds:schemaRef ds:uri="http://gemini/pivotcustomization/5c821b62-43bf-47bf-9257-04e811d1d4ef"/>
  </ds:schemaRefs>
</ds:datastoreItem>
</file>

<file path=customXml/itemProps20.xml><?xml version="1.0" encoding="utf-8"?>
<ds:datastoreItem xmlns:ds="http://schemas.openxmlformats.org/officeDocument/2006/customXml" ds:itemID="{024F9630-DB9E-46CF-BF20-4BB712A2373B}">
  <ds:schemaRefs>
    <ds:schemaRef ds:uri="http://gemini/pivotcustomization/TableXML_Departmental Profit Loss_72469cf3-d374-4c6c-8d3f-44e6e4c89a0c"/>
  </ds:schemaRefs>
</ds:datastoreItem>
</file>

<file path=customXml/itemProps21.xml><?xml version="1.0" encoding="utf-8"?>
<ds:datastoreItem xmlns:ds="http://schemas.openxmlformats.org/officeDocument/2006/customXml" ds:itemID="{D5C658FF-D80B-4653-A0BF-BC4326C5884D}">
  <ds:schemaRefs>
    <ds:schemaRef ds:uri="http://gemini/pivotcustomization/TableXML_Departmental Profit Loss_72469cf3-d374-4c6c-8d3f-44e6e4c89a0c"/>
  </ds:schemaRefs>
</ds:datastoreItem>
</file>

<file path=customXml/itemProps22.xml><?xml version="1.0" encoding="utf-8"?>
<ds:datastoreItem xmlns:ds="http://schemas.openxmlformats.org/officeDocument/2006/customXml" ds:itemID="{5A48F489-B754-4F66-AD32-1E44630647EA}">
  <ds:schemaRefs>
    <ds:schemaRef ds:uri="http://gemini/pivotcustomization/TableXML_Departmental Profit Loss_Budget_5725de27-a7a3-4ab3-b0ba-d0f172ac636f"/>
  </ds:schemaRefs>
</ds:datastoreItem>
</file>

<file path=customXml/itemProps23.xml><?xml version="1.0" encoding="utf-8"?>
<ds:datastoreItem xmlns:ds="http://schemas.openxmlformats.org/officeDocument/2006/customXml" ds:itemID="{2A9DE62E-E9BE-4911-8B4C-A6C6CA5B982E}">
  <ds:schemaRefs>
    <ds:schemaRef ds:uri="http://gemini/pivotcustomization/aec97850-f685-4152-8549-d81eb858ae8d"/>
  </ds:schemaRefs>
</ds:datastoreItem>
</file>

<file path=customXml/itemProps24.xml><?xml version="1.0" encoding="utf-8"?>
<ds:datastoreItem xmlns:ds="http://schemas.openxmlformats.org/officeDocument/2006/customXml" ds:itemID="{9EA128F0-964F-4662-9AB6-6ECDCD6F5FB7}">
  <ds:schemaRefs>
    <ds:schemaRef ds:uri="http://gemini/pivotcustomization/TableXML_Departmental Profit Loss_72469cf3-d374-4c6c-8d3f-44e6e4c89a0c"/>
  </ds:schemaRefs>
</ds:datastoreItem>
</file>

<file path=customXml/itemProps25.xml><?xml version="1.0" encoding="utf-8"?>
<ds:datastoreItem xmlns:ds="http://schemas.openxmlformats.org/officeDocument/2006/customXml" ds:itemID="{DC3EA6F8-4884-4144-95E3-8A27E36D34C4}">
  <ds:schemaRefs>
    <ds:schemaRef ds:uri="http://gemini/pivotcustomization/TableXML_Departmental Profit Loss_72469cf3-d374-4c6c-8d3f-44e6e4c89a0c"/>
  </ds:schemaRefs>
</ds:datastoreItem>
</file>

<file path=customXml/itemProps26.xml><?xml version="1.0" encoding="utf-8"?>
<ds:datastoreItem xmlns:ds="http://schemas.openxmlformats.org/officeDocument/2006/customXml" ds:itemID="{A4C5C238-7C12-4B3B-86D4-903E7E91382F}">
  <ds:schemaRefs>
    <ds:schemaRef ds:uri="http://gemini/pivotcustomization/TableXML_Departmental Profit Loss_72469cf3-d374-4c6c-8d3f-44e6e4c89a0c"/>
  </ds:schemaRefs>
</ds:datastoreItem>
</file>

<file path=customXml/itemProps27.xml><?xml version="1.0" encoding="utf-8"?>
<ds:datastoreItem xmlns:ds="http://schemas.openxmlformats.org/officeDocument/2006/customXml" ds:itemID="{8A2B7CFE-D507-45E6-BAEE-E2B56CCE3418}">
  <ds:schemaRefs>
    <ds:schemaRef ds:uri="http://gemini/pivotcustomization/TableXML_Research Development_b5eefaf4-ba6d-4307-b6e1-3a6db9ca559a"/>
  </ds:schemaRefs>
</ds:datastoreItem>
</file>

<file path=customXml/itemProps28.xml><?xml version="1.0" encoding="utf-8"?>
<ds:datastoreItem xmlns:ds="http://schemas.openxmlformats.org/officeDocument/2006/customXml" ds:itemID="{47A9CB20-D8B0-4F28-A9DF-2EDD598F506A}">
  <ds:schemaRefs>
    <ds:schemaRef ds:uri="http://gemini/pivotcustomization/TableXML_Departmental Profit Loss_72469cf3-d374-4c6c-8d3f-44e6e4c89a0c"/>
  </ds:schemaRefs>
</ds:datastoreItem>
</file>

<file path=customXml/itemProps29.xml><?xml version="1.0" encoding="utf-8"?>
<ds:datastoreItem xmlns:ds="http://schemas.openxmlformats.org/officeDocument/2006/customXml" ds:itemID="{3257B164-B91E-4657-A9D6-3E322076429E}">
  <ds:schemaRefs>
    <ds:schemaRef ds:uri="http://gemini/pivotcustomization/47b452f6-fb7b-4d78-9c7f-65a49ca55cb9"/>
  </ds:schemaRefs>
</ds:datastoreItem>
</file>

<file path=customXml/itemProps30.xml><?xml version="1.0" encoding="utf-8"?>
<ds:datastoreItem xmlns:ds="http://schemas.openxmlformats.org/officeDocument/2006/customXml" ds:itemID="{5965D640-DCC3-48AF-AFBE-5BD789B4C7DE}">
  <ds:schemaRefs>
    <ds:schemaRef ds:uri="http://gemini/pivotcustomization/33dbf098-1455-4b62-9eb9-269b557b87df"/>
  </ds:schemaRefs>
</ds:datastoreItem>
</file>

<file path=customXml/itemProps31.xml><?xml version="1.0" encoding="utf-8"?>
<ds:datastoreItem xmlns:ds="http://schemas.openxmlformats.org/officeDocument/2006/customXml" ds:itemID="{34515BF2-2FB9-49C1-9286-B220CBCEFD46}">
  <ds:schemaRefs>
    <ds:schemaRef ds:uri="http://gemini/pivotcustomization/ShowImplicitMeasures"/>
  </ds:schemaRefs>
</ds:datastoreItem>
</file>

<file path=customXml/itemProps32.xml><?xml version="1.0" encoding="utf-8"?>
<ds:datastoreItem xmlns:ds="http://schemas.openxmlformats.org/officeDocument/2006/customXml" ds:itemID="{FF94AF44-3B5D-4ECB-A186-502465BADFC6}">
  <ds:schemaRefs>
    <ds:schemaRef ds:uri="http://schemas.microsoft.com/sharepoint/v3/contenttype/forms"/>
  </ds:schemaRefs>
</ds:datastoreItem>
</file>

<file path=customXml/itemProps33.xml><?xml version="1.0" encoding="utf-8"?>
<ds:datastoreItem xmlns:ds="http://schemas.openxmlformats.org/officeDocument/2006/customXml" ds:itemID="{806EC2C8-454D-452F-8D85-0BE51AD3CC55}">
  <ds:schemaRefs>
    <ds:schemaRef ds:uri="http://gemini/pivotcustomization/TableXML_Departmental Profit Loss_Budget_5725de27-a7a3-4ab3-b0ba-d0f172ac636f"/>
  </ds:schemaRefs>
</ds:datastoreItem>
</file>

<file path=customXml/itemProps34.xml><?xml version="1.0" encoding="utf-8"?>
<ds:datastoreItem xmlns:ds="http://schemas.openxmlformats.org/officeDocument/2006/customXml" ds:itemID="{A0E68E0E-E4F9-4E36-B358-D0D68B422DB8}">
  <ds:schemaRefs>
    <ds:schemaRef ds:uri="http://gemini/pivotcustomization/TableXML_Departmental Profit Loss_72469cf3-d374-4c6c-8d3f-44e6e4c89a0c"/>
  </ds:schemaRefs>
</ds:datastoreItem>
</file>

<file path=customXml/itemProps35.xml><?xml version="1.0" encoding="utf-8"?>
<ds:datastoreItem xmlns:ds="http://schemas.openxmlformats.org/officeDocument/2006/customXml" ds:itemID="{74F9A244-1D4B-4ECD-ABA0-9920ADA30993}">
  <ds:schemaRefs>
    <ds:schemaRef ds:uri="http://gemini/pivotcustomization/TableXML_Departmental Profit Loss_72469cf3-d374-4c6c-8d3f-44e6e4c89a0c"/>
  </ds:schemaRefs>
</ds:datastoreItem>
</file>

<file path=customXml/itemProps36.xml><?xml version="1.0" encoding="utf-8"?>
<ds:datastoreItem xmlns:ds="http://schemas.openxmlformats.org/officeDocument/2006/customXml" ds:itemID="{5DF22ECE-E6AB-4F84-B2F1-1100FB72FDE8}">
  <ds:schemaRefs>
    <ds:schemaRef ds:uri="http://gemini/pivotcustomization/TableXML_Departmental Profit Loss_Budget_5725de27-a7a3-4ab3-b0ba-d0f172ac636f"/>
  </ds:schemaRefs>
</ds:datastoreItem>
</file>

<file path=customXml/itemProps37.xml><?xml version="1.0" encoding="utf-8"?>
<ds:datastoreItem xmlns:ds="http://schemas.openxmlformats.org/officeDocument/2006/customXml" ds:itemID="{B0469A71-382A-4970-8CD1-1AE8645A268F}">
  <ds:schemaRefs>
    <ds:schemaRef ds:uri="http://gemini/pivotcustomization/TableXML_Departmental Profit Loss_72469cf3-d374-4c6c-8d3f-44e6e4c89a0c"/>
  </ds:schemaRefs>
</ds:datastoreItem>
</file>

<file path=customXml/itemProps38.xml><?xml version="1.0" encoding="utf-8"?>
<ds:datastoreItem xmlns:ds="http://schemas.openxmlformats.org/officeDocument/2006/customXml" ds:itemID="{554B6211-DB9E-46A8-828B-799E8CC14E46}">
  <ds:schemaRefs>
    <ds:schemaRef ds:uri="http://gemini/pivotcustomization/TableXML_Departmental Profit Loss_72469cf3-d374-4c6c-8d3f-44e6e4c89a0c"/>
  </ds:schemaRefs>
</ds:datastoreItem>
</file>

<file path=customXml/itemProps39.xml><?xml version="1.0" encoding="utf-8"?>
<ds:datastoreItem xmlns:ds="http://schemas.openxmlformats.org/officeDocument/2006/customXml" ds:itemID="{889F402D-CCA6-4562-806B-0634278B5DBD}">
  <ds:schemaRefs>
    <ds:schemaRef ds:uri="http://gemini/pivotcustomization/TableXML_Departmental Profit Loss_72469cf3-d374-4c6c-8d3f-44e6e4c89a0c"/>
  </ds:schemaRefs>
</ds:datastoreItem>
</file>

<file path=customXml/itemProps40.xml><?xml version="1.0" encoding="utf-8"?>
<ds:datastoreItem xmlns:ds="http://schemas.openxmlformats.org/officeDocument/2006/customXml" ds:itemID="{84A2968B-BCC4-489A-81CD-05C3E3CE022B}">
  <ds:schemaRefs>
    <ds:schemaRef ds:uri="http://gemini/pivotcustomization/7fd4ff76-7852-4aaa-be43-cc7fee40498a"/>
  </ds:schemaRefs>
</ds:datastoreItem>
</file>

<file path=customXml/itemProps41.xml><?xml version="1.0" encoding="utf-8"?>
<ds:datastoreItem xmlns:ds="http://schemas.openxmlformats.org/officeDocument/2006/customXml" ds:itemID="{66DD795A-9E42-45B5-8FDF-3EB789534AF7}">
  <ds:schemaRefs>
    <ds:schemaRef ds:uri="http://gemini/pivotcustomization/ShowHidden"/>
  </ds:schemaRefs>
</ds:datastoreItem>
</file>

<file path=customXml/itemProps42.xml><?xml version="1.0" encoding="utf-8"?>
<ds:datastoreItem xmlns:ds="http://schemas.openxmlformats.org/officeDocument/2006/customXml" ds:itemID="{074D9E22-F771-4C03-9956-5A7959B9DF6E}">
  <ds:schemaRefs>
    <ds:schemaRef ds:uri="http://gemini/pivotcustomization/TableXML_Departmental Profit Loss_Budget_5725de27-a7a3-4ab3-b0ba-d0f172ac636f"/>
  </ds:schemaRefs>
</ds:datastoreItem>
</file>

<file path=customXml/itemProps43.xml><?xml version="1.0" encoding="utf-8"?>
<ds:datastoreItem xmlns:ds="http://schemas.openxmlformats.org/officeDocument/2006/customXml" ds:itemID="{47E74528-4B12-4384-A50D-4686FC36708E}">
  <ds:schemaRefs>
    <ds:schemaRef ds:uri="http://gemini/pivotcustomization/TableXML_Departmental Profit Loss_Budget_5725de27-a7a3-4ab3-b0ba-d0f172ac636f"/>
  </ds:schemaRefs>
</ds:datastoreItem>
</file>

<file path=customXml/itemProps44.xml><?xml version="1.0" encoding="utf-8"?>
<ds:datastoreItem xmlns:ds="http://schemas.openxmlformats.org/officeDocument/2006/customXml" ds:itemID="{8FBCCDFE-DACA-4F9A-A4D5-CAC238D5325E}">
  <ds:schemaRefs>
    <ds:schemaRef ds:uri="http://gemini/pivotcustomization/TableXML_Departmental Profit Loss_72469cf3-d374-4c6c-8d3f-44e6e4c89a0c"/>
  </ds:schemaRefs>
</ds:datastoreItem>
</file>

<file path=customXml/itemProps45.xml><?xml version="1.0" encoding="utf-8"?>
<ds:datastoreItem xmlns:ds="http://schemas.openxmlformats.org/officeDocument/2006/customXml" ds:itemID="{80EFC466-16B4-4938-887C-2168E235D85A}">
  <ds:schemaRefs>
    <ds:schemaRef ds:uri="http://gemini/pivotcustomization/9853d252-6e68-416d-8823-63ffe82aafa7"/>
  </ds:schemaRefs>
</ds:datastoreItem>
</file>

<file path=customXml/itemProps46.xml><?xml version="1.0" encoding="utf-8"?>
<ds:datastoreItem xmlns:ds="http://schemas.openxmlformats.org/officeDocument/2006/customXml" ds:itemID="{12EB1816-482B-4A06-B12F-FEC69A8ECB97}">
  <ds:schemaRefs>
    <ds:schemaRef ds:uri="http://gemini/pivotcustomization/TableXML_Departmental Profit Loss_72469cf3-d374-4c6c-8d3f-44e6e4c89a0c"/>
  </ds:schemaRefs>
</ds:datastoreItem>
</file>

<file path=customXml/itemProps47.xml><?xml version="1.0" encoding="utf-8"?>
<ds:datastoreItem xmlns:ds="http://schemas.openxmlformats.org/officeDocument/2006/customXml" ds:itemID="{19B02766-2EC0-43F6-AEC2-214489E1B0A2}">
  <ds:schemaRefs>
    <ds:schemaRef ds:uri="http://gemini/pivotcustomization/52c64135-d6c7-4b23-a704-cc40cfa80a37"/>
  </ds:schemaRefs>
</ds:datastoreItem>
</file>

<file path=customXml/itemProps48.xml><?xml version="1.0" encoding="utf-8"?>
<ds:datastoreItem xmlns:ds="http://schemas.openxmlformats.org/officeDocument/2006/customXml" ds:itemID="{CC9FB10D-09C0-446E-B9B0-73E0C7B9A39D}">
  <ds:schemaRefs>
    <ds:schemaRef ds:uri="http://gemini/pivotcustomization/ce28aeef-341d-4057-881b-426ca7ee9c21"/>
  </ds:schemaRefs>
</ds:datastoreItem>
</file>

<file path=customXml/itemProps49.xml><?xml version="1.0" encoding="utf-8"?>
<ds:datastoreItem xmlns:ds="http://schemas.openxmlformats.org/officeDocument/2006/customXml" ds:itemID="{8E272C36-823A-4D4A-87E3-329948725C02}">
  <ds:schemaRefs>
    <ds:schemaRef ds:uri="http://gemini/pivotcustomization/TableXML_Departmental Profit Loss_72469cf3-d374-4c6c-8d3f-44e6e4c89a0c"/>
  </ds:schemaRefs>
</ds:datastoreItem>
</file>

<file path=customXml/itemProps50.xml><?xml version="1.0" encoding="utf-8"?>
<ds:datastoreItem xmlns:ds="http://schemas.openxmlformats.org/officeDocument/2006/customXml" ds:itemID="{66B6A158-6B39-48E5-BCAE-5BD3BBF58C7C}">
  <ds:schemaRefs>
    <ds:schemaRef ds:uri="http://gemini/pivotcustomization/IsSandboxEmbedded"/>
  </ds:schemaRefs>
</ds:datastoreItem>
</file>

<file path=customXml/itemProps51.xml><?xml version="1.0" encoding="utf-8"?>
<ds:datastoreItem xmlns:ds="http://schemas.openxmlformats.org/officeDocument/2006/customXml" ds:itemID="{0065198D-71EE-4DCD-8F3F-F34776D80F31}">
  <ds:schemaRefs>
    <ds:schemaRef ds:uri="http://gemini/pivotcustomization/TableXML_Departmental Profit Loss_Budget_5725de27-a7a3-4ab3-b0ba-d0f172ac636f"/>
  </ds:schemaRefs>
</ds:datastoreItem>
</file>

<file path=customXml/itemProps52.xml><?xml version="1.0" encoding="utf-8"?>
<ds:datastoreItem xmlns:ds="http://schemas.openxmlformats.org/officeDocument/2006/customXml" ds:itemID="{F3487C89-A588-42AC-ABCD-C8A7F3614E59}">
  <ds:schemaRefs>
    <ds:schemaRef ds:uri="http://gemini/pivotcustomization/TableXML_Departmental Profit Loss_72469cf3-d374-4c6c-8d3f-44e6e4c89a0c"/>
  </ds:schemaRefs>
</ds:datastoreItem>
</file>

<file path=customXml/itemProps53.xml><?xml version="1.0" encoding="utf-8"?>
<ds:datastoreItem xmlns:ds="http://schemas.openxmlformats.org/officeDocument/2006/customXml" ds:itemID="{D36E2540-B2B7-47C9-9C6F-B6C81B5FE427}">
  <ds:schemaRefs>
    <ds:schemaRef ds:uri="http://gemini/pivotcustomization/9fa07cfc-aa6a-41f1-ac44-4bfb28ef498c"/>
  </ds:schemaRefs>
</ds:datastoreItem>
</file>

<file path=customXml/itemProps54.xml><?xml version="1.0" encoding="utf-8"?>
<ds:datastoreItem xmlns:ds="http://schemas.openxmlformats.org/officeDocument/2006/customXml" ds:itemID="{402F6440-8EF4-4393-A79E-2C0BD29C9DCE}">
  <ds:schemaRefs>
    <ds:schemaRef ds:uri="http://gemini/pivotcustomization/TableXML_Departmental Profit Loss_72469cf3-d374-4c6c-8d3f-44e6e4c89a0c"/>
  </ds:schemaRefs>
</ds:datastoreItem>
</file>

<file path=customXml/itemProps55.xml><?xml version="1.0" encoding="utf-8"?>
<ds:datastoreItem xmlns:ds="http://schemas.openxmlformats.org/officeDocument/2006/customXml" ds:itemID="{57455476-AC82-43D6-8547-034FBAA93063}">
  <ds:schemaRefs>
    <ds:schemaRef ds:uri="http://gemini/pivotcustomization/TableXML_Departmental Profit Loss_Budget_5725de27-a7a3-4ab3-b0ba-d0f172ac636f"/>
  </ds:schemaRefs>
</ds:datastoreItem>
</file>

<file path=customXml/itemProps56.xml><?xml version="1.0" encoding="utf-8"?>
<ds:datastoreItem xmlns:ds="http://schemas.openxmlformats.org/officeDocument/2006/customXml" ds:itemID="{8A0CEE62-117E-41CA-A9F3-B8AAE7A52BEE}">
  <ds:schemaRefs>
    <ds:schemaRef ds:uri="http://gemini/pivotcustomization/f7277403-0e66-4c3a-8be7-6ebaec9c1267"/>
  </ds:schemaRefs>
</ds:datastoreItem>
</file>

<file path=customXml/itemProps57.xml><?xml version="1.0" encoding="utf-8"?>
<ds:datastoreItem xmlns:ds="http://schemas.openxmlformats.org/officeDocument/2006/customXml" ds:itemID="{23903367-E14F-4850-BA1C-E8DD1AA25A9F}">
  <ds:schemaRefs>
    <ds:schemaRef ds:uri="http://gemini/pivotcustomization/TableXML_Departmental Profit Loss_72469cf3-d374-4c6c-8d3f-44e6e4c89a0c"/>
  </ds:schemaRefs>
</ds:datastoreItem>
</file>

<file path=customXml/itemProps58.xml><?xml version="1.0" encoding="utf-8"?>
<ds:datastoreItem xmlns:ds="http://schemas.openxmlformats.org/officeDocument/2006/customXml" ds:itemID="{7CCB334E-8A87-458F-8EAE-359D9D351998}">
  <ds:schemaRefs>
    <ds:schemaRef ds:uri="http://gemini/pivotcustomization/TableXML_Departmental Profit Loss_72469cf3-d374-4c6c-8d3f-44e6e4c89a0c"/>
  </ds:schemaRefs>
</ds:datastoreItem>
</file>

<file path=customXml/itemProps59.xml><?xml version="1.0" encoding="utf-8"?>
<ds:datastoreItem xmlns:ds="http://schemas.openxmlformats.org/officeDocument/2006/customXml" ds:itemID="{F8700905-E510-48CF-BB75-011A88CCB2D7}">
  <ds:schemaRefs>
    <ds:schemaRef ds:uri="http://gemini/pivotcustomization/c5876e3f-03e3-4328-9671-44902c7ebf8c"/>
  </ds:schemaRefs>
</ds:datastoreItem>
</file>

<file path=customXml/itemProps60.xml><?xml version="1.0" encoding="utf-8"?>
<ds:datastoreItem xmlns:ds="http://schemas.openxmlformats.org/officeDocument/2006/customXml" ds:itemID="{2B416DDB-C96D-4557-869B-AABC70B1D5A5}">
  <ds:schemaRefs>
    <ds:schemaRef ds:uri="http://gemini/pivotcustomization/74ac8160-6e19-4f1e-a094-b72418b6ad09"/>
  </ds:schemaRefs>
</ds:datastoreItem>
</file>

<file path=customXml/itemProps61.xml><?xml version="1.0" encoding="utf-8"?>
<ds:datastoreItem xmlns:ds="http://schemas.openxmlformats.org/officeDocument/2006/customXml" ds:itemID="{AA46D4AB-089E-45BE-89BD-CA387C1863C6}">
  <ds:schemaRefs>
    <ds:schemaRef ds:uri="http://gemini/pivotcustomization/TableXML_Departmental Profit Loss_72469cf3-d374-4c6c-8d3f-44e6e4c89a0c"/>
  </ds:schemaRefs>
</ds:datastoreItem>
</file>

<file path=customXml/itemProps62.xml><?xml version="1.0" encoding="utf-8"?>
<ds:datastoreItem xmlns:ds="http://schemas.openxmlformats.org/officeDocument/2006/customXml" ds:itemID="{51EA6855-8965-46EC-9720-A44A11584753}">
  <ds:schemaRefs>
    <ds:schemaRef ds:uri="http://gemini/pivotcustomization/TableXML_Departmental Profit Loss_72469cf3-d374-4c6c-8d3f-44e6e4c89a0c"/>
  </ds:schemaRefs>
</ds:datastoreItem>
</file>

<file path=customXml/itemProps63.xml><?xml version="1.0" encoding="utf-8"?>
<ds:datastoreItem xmlns:ds="http://schemas.openxmlformats.org/officeDocument/2006/customXml" ds:itemID="{F9498F1F-C584-4A8F-8D45-D18AB42C6F57}">
  <ds:schemaRefs>
    <ds:schemaRef ds:uri="http://gemini/pivotcustomization/PowerPivotVersion"/>
  </ds:schemaRefs>
</ds:datastoreItem>
</file>

<file path=customXml/itemProps64.xml><?xml version="1.0" encoding="utf-8"?>
<ds:datastoreItem xmlns:ds="http://schemas.openxmlformats.org/officeDocument/2006/customXml" ds:itemID="{4D28C21D-1ACA-450C-B0A9-41F05782DF5B}">
  <ds:schemaRefs>
    <ds:schemaRef ds:uri="http://gemini/pivotcustomization/TableXML_Departmental Profit Loss_Budget_5725de27-a7a3-4ab3-b0ba-d0f172ac636f"/>
  </ds:schemaRefs>
</ds:datastoreItem>
</file>

<file path=customXml/itemProps65.xml><?xml version="1.0" encoding="utf-8"?>
<ds:datastoreItem xmlns:ds="http://schemas.openxmlformats.org/officeDocument/2006/customXml" ds:itemID="{5615006C-8D92-4274-AE9D-A43F9F8D1400}">
  <ds:schemaRefs>
    <ds:schemaRef ds:uri="http://gemini/pivotcustomization/TableXML_Departmental Profit Loss_Budget_5725de27-a7a3-4ab3-b0ba-d0f172ac636f"/>
  </ds:schemaRefs>
</ds:datastoreItem>
</file>

<file path=customXml/itemProps66.xml><?xml version="1.0" encoding="utf-8"?>
<ds:datastoreItem xmlns:ds="http://schemas.openxmlformats.org/officeDocument/2006/customXml" ds:itemID="{89285E12-CDAE-4453-8FE4-2EE0C8B82630}">
  <ds:schemaRefs>
    <ds:schemaRef ds:uri="http://gemini/pivotcustomization/TableXML_Departmental Profit Loss_Budget_5725de27-a7a3-4ab3-b0ba-d0f172ac636f"/>
  </ds:schemaRefs>
</ds:datastoreItem>
</file>

<file path=customXml/itemProps67.xml><?xml version="1.0" encoding="utf-8"?>
<ds:datastoreItem xmlns:ds="http://schemas.openxmlformats.org/officeDocument/2006/customXml" ds:itemID="{A9846754-0035-4341-812C-086E9399CEFA}">
  <ds:schemaRefs>
    <ds:schemaRef ds:uri="http://gemini/pivotcustomization/TableXML_Departmental Profit Loss_72469cf3-d374-4c6c-8d3f-44e6e4c89a0c"/>
  </ds:schemaRefs>
</ds:datastoreItem>
</file>

<file path=customXml/itemProps68.xml><?xml version="1.0" encoding="utf-8"?>
<ds:datastoreItem xmlns:ds="http://schemas.openxmlformats.org/officeDocument/2006/customXml" ds:itemID="{105D2298-DD26-4686-A8FD-49D2F980B9C4}">
  <ds:schemaRefs>
    <ds:schemaRef ds:uri="http://gemini/pivotcustomization/TableXML_Departmental Profit Loss_72469cf3-d374-4c6c-8d3f-44e6e4c89a0c"/>
  </ds:schemaRefs>
</ds:datastoreItem>
</file>

<file path=customXml/itemProps69.xml><?xml version="1.0" encoding="utf-8"?>
<ds:datastoreItem xmlns:ds="http://schemas.openxmlformats.org/officeDocument/2006/customXml" ds:itemID="{A3561094-A2C2-4692-A836-F7D9B0320407}">
  <ds:schemaRefs>
    <ds:schemaRef ds:uri="http://gemini/pivotcustomization/TableXML_Research Development_b5eefaf4-ba6d-4307-b6e1-3a6db9ca559a"/>
  </ds:schemaRefs>
</ds:datastoreItem>
</file>

<file path=customXml/itemProps70.xml><?xml version="1.0" encoding="utf-8"?>
<ds:datastoreItem xmlns:ds="http://schemas.openxmlformats.org/officeDocument/2006/customXml" ds:itemID="{C8D2B98D-66B4-41AF-B1BF-3CFEA873B183}">
  <ds:schemaRefs>
    <ds:schemaRef ds:uri="http://gemini/pivotcustomization/TableXML_Departmental Profit Loss_Budget_5725de27-a7a3-4ab3-b0ba-d0f172ac636f"/>
  </ds:schemaRefs>
</ds:datastoreItem>
</file>

<file path=customXml/itemProps71.xml><?xml version="1.0" encoding="utf-8"?>
<ds:datastoreItem xmlns:ds="http://schemas.openxmlformats.org/officeDocument/2006/customXml" ds:itemID="{2E45DEEB-6993-40CD-9E62-238B4EFD1207}">
  <ds:schemaRefs>
    <ds:schemaRef ds:uri="http://gemini/pivotcustomization/TableXML_Mappings"/>
  </ds:schemaRefs>
</ds:datastoreItem>
</file>

<file path=customXml/itemProps72.xml><?xml version="1.0" encoding="utf-8"?>
<ds:datastoreItem xmlns:ds="http://schemas.openxmlformats.org/officeDocument/2006/customXml" ds:itemID="{6D0F2DB1-B45A-42DD-9960-DDB902B0102B}">
  <ds:schemaRefs>
    <ds:schemaRef ds:uri="http://gemini/pivotcustomization/TableXML_Departments 1"/>
  </ds:schemaRefs>
</ds:datastoreItem>
</file>

<file path=customXml/itemProps73.xml><?xml version="1.0" encoding="utf-8"?>
<ds:datastoreItem xmlns:ds="http://schemas.openxmlformats.org/officeDocument/2006/customXml" ds:itemID="{68CA9AAC-FF12-4B52-82B7-EBCA77E64FCA}">
  <ds:schemaRefs>
    <ds:schemaRef ds:uri="http://gemini/pivotcustomization/TableXML_Departmental Profit Loss_72469cf3-d374-4c6c-8d3f-44e6e4c89a0c"/>
  </ds:schemaRefs>
</ds:datastoreItem>
</file>

<file path=customXml/itemProps74.xml><?xml version="1.0" encoding="utf-8"?>
<ds:datastoreItem xmlns:ds="http://schemas.openxmlformats.org/officeDocument/2006/customXml" ds:itemID="{2472BFD8-8D25-4034-A3A1-C8A2BF6E0580}">
  <ds:schemaRefs>
    <ds:schemaRef ds:uri="http://gemini/pivotcustomization/FormulaBarState"/>
  </ds:schemaRefs>
</ds:datastoreItem>
</file>

<file path=customXml/itemProps75.xml><?xml version="1.0" encoding="utf-8"?>
<ds:datastoreItem xmlns:ds="http://schemas.openxmlformats.org/officeDocument/2006/customXml" ds:itemID="{5F5C49BB-EBD9-416E-932C-A1A797D2F259}">
  <ds:schemaRefs>
    <ds:schemaRef ds:uri="http://gemini/pivotcustomization/TableXML_Departmental Profit Loss_72469cf3-d374-4c6c-8d3f-44e6e4c89a0c"/>
  </ds:schemaRefs>
</ds:datastoreItem>
</file>

<file path=customXml/itemProps76.xml><?xml version="1.0" encoding="utf-8"?>
<ds:datastoreItem xmlns:ds="http://schemas.openxmlformats.org/officeDocument/2006/customXml" ds:itemID="{C2CC61B3-7AE8-4D12-8412-FBCA61496709}">
  <ds:schemaRefs>
    <ds:schemaRef ds:uri="http://gemini/pivotcustomization/TableXML_Departmental Profit Loss_72469cf3-d374-4c6c-8d3f-44e6e4c89a0c"/>
  </ds:schemaRefs>
</ds:datastoreItem>
</file>

<file path=customXml/itemProps77.xml><?xml version="1.0" encoding="utf-8"?>
<ds:datastoreItem xmlns:ds="http://schemas.openxmlformats.org/officeDocument/2006/customXml" ds:itemID="{C2D3FDD5-BA94-4618-B9E1-AA7C3FA6F75E}">
  <ds:schemaRefs>
    <ds:schemaRef ds:uri="http://gemini/pivotcustomization/TableXML_Departmental Profit Loss_72469cf3-d374-4c6c-8d3f-44e6e4c89a0c"/>
  </ds:schemaRefs>
</ds:datastoreItem>
</file>

<file path=customXml/itemProps78.xml><?xml version="1.0" encoding="utf-8"?>
<ds:datastoreItem xmlns:ds="http://schemas.openxmlformats.org/officeDocument/2006/customXml" ds:itemID="{5AA86F15-486A-49E9-8D7E-B21BCE3B8CDD}">
  <ds:schemaRefs>
    <ds:schemaRef ds:uri="http://gemini/pivotcustomization/TableXML_Departmental Profit Loss_Budget_5725de27-a7a3-4ab3-b0ba-d0f172ac636f"/>
  </ds:schemaRefs>
</ds:datastoreItem>
</file>

<file path=customXml/itemProps79.xml><?xml version="1.0" encoding="utf-8"?>
<ds:datastoreItem xmlns:ds="http://schemas.openxmlformats.org/officeDocument/2006/customXml" ds:itemID="{9BEB9DB8-74D0-4C59-8B59-0C063180C6B1}">
  <ds:schemaRefs>
    <ds:schemaRef ds:uri="http://gemini/pivotcustomization/1573862c-9e5f-470e-8386-7dcb612352bf"/>
  </ds:schemaRefs>
</ds:datastoreItem>
</file>

<file path=customXml/itemProps80.xml><?xml version="1.0" encoding="utf-8"?>
<ds:datastoreItem xmlns:ds="http://schemas.openxmlformats.org/officeDocument/2006/customXml" ds:itemID="{ED63BF43-0FEE-4993-9EE1-5D70A32EFFBC}">
  <ds:schemaRefs>
    <ds:schemaRef ds:uri="http://gemini/pivotcustomization/TableXML_Departmental Profit Loss_72469cf3-d374-4c6c-8d3f-44e6e4c89a0c"/>
  </ds:schemaRefs>
</ds:datastoreItem>
</file>

<file path=customXml/itemProps81.xml><?xml version="1.0" encoding="utf-8"?>
<ds:datastoreItem xmlns:ds="http://schemas.openxmlformats.org/officeDocument/2006/customXml" ds:itemID="{A0BC7495-EF6B-436D-93BE-D926FADAF797}">
  <ds:schemaRefs>
    <ds:schemaRef ds:uri="http://gemini/pivotcustomization/789c3fc5-c418-46bb-9a31-b535c0d8a37c"/>
  </ds:schemaRefs>
</ds:datastoreItem>
</file>

<file path=customXml/itemProps82.xml><?xml version="1.0" encoding="utf-8"?>
<ds:datastoreItem xmlns:ds="http://schemas.openxmlformats.org/officeDocument/2006/customXml" ds:itemID="{C89E4A59-B487-410C-A2A5-E462BCCB04FC}">
  <ds:schemaRefs>
    <ds:schemaRef ds:uri="http://gemini/pivotcustomization/e29327bf-c965-4171-921e-9e9fbed201aa"/>
  </ds:schemaRefs>
</ds:datastoreItem>
</file>

<file path=customXml/itemProps83.xml><?xml version="1.0" encoding="utf-8"?>
<ds:datastoreItem xmlns:ds="http://schemas.openxmlformats.org/officeDocument/2006/customXml" ds:itemID="{9E1F1AEF-FA6E-4B68-AFC4-F76D234B126D}">
  <ds:schemaRefs>
    <ds:schemaRef ds:uri="http://gemini/pivotcustomization/182090d6-0ce3-4f32-8a9b-783d20706a75"/>
  </ds:schemaRefs>
</ds:datastoreItem>
</file>

<file path=customXml/itemProps84.xml><?xml version="1.0" encoding="utf-8"?>
<ds:datastoreItem xmlns:ds="http://schemas.openxmlformats.org/officeDocument/2006/customXml" ds:itemID="{5C3FA4E4-60C3-4AD4-86B3-DDCA9A5F15DD}">
  <ds:schemaRefs>
    <ds:schemaRef ds:uri="http://gemini/pivotcustomization/711df659-5029-4958-825e-be0939686e32"/>
  </ds:schemaRefs>
</ds:datastoreItem>
</file>

<file path=customXml/itemProps85.xml><?xml version="1.0" encoding="utf-8"?>
<ds:datastoreItem xmlns:ds="http://schemas.openxmlformats.org/officeDocument/2006/customXml" ds:itemID="{7D75CD61-778E-4A69-AD8E-F9B3A0B50D6F}">
  <ds:schemaRefs>
    <ds:schemaRef ds:uri="http://gemini/pivotcustomization/TableXML_Departmental Profit Loss_72469cf3-d374-4c6c-8d3f-44e6e4c89a0c"/>
  </ds:schemaRefs>
</ds:datastoreItem>
</file>

<file path=customXml/itemProps86.xml><?xml version="1.0" encoding="utf-8"?>
<ds:datastoreItem xmlns:ds="http://schemas.openxmlformats.org/officeDocument/2006/customXml" ds:itemID="{EDDC0F26-669B-4162-B5E9-5D71D6366E09}">
  <ds:schemaRefs>
    <ds:schemaRef ds:uri="http://gemini/pivotcustomization/3c16a0a7-1378-4822-8405-c441ba7d67c2"/>
  </ds:schemaRefs>
</ds:datastoreItem>
</file>

<file path=customXml/itemProps87.xml><?xml version="1.0" encoding="utf-8"?>
<ds:datastoreItem xmlns:ds="http://schemas.openxmlformats.org/officeDocument/2006/customXml" ds:itemID="{62B9B4CA-FBED-4E00-B13F-01378A1BED59}">
  <ds:schemaRefs>
    <ds:schemaRef ds:uri="http://gemini/pivotcustomization/TableXML_Departmental Profit Loss_Budget_5725de27-a7a3-4ab3-b0ba-d0f172ac636f"/>
  </ds:schemaRefs>
</ds:datastoreItem>
</file>

<file path=customXml/itemProps88.xml><?xml version="1.0" encoding="utf-8"?>
<ds:datastoreItem xmlns:ds="http://schemas.openxmlformats.org/officeDocument/2006/customXml" ds:itemID="{3C1A94FD-745C-4552-B920-3366135F672C}">
  <ds:schemaRefs>
    <ds:schemaRef ds:uri="http://gemini/pivotcustomization/TableXML_Departmental Profit Loss_Budget_5725de27-a7a3-4ab3-b0ba-d0f172ac636f"/>
  </ds:schemaRefs>
</ds:datastoreItem>
</file>

<file path=customXml/itemProps89.xml><?xml version="1.0" encoding="utf-8"?>
<ds:datastoreItem xmlns:ds="http://schemas.openxmlformats.org/officeDocument/2006/customXml" ds:itemID="{ADBD7D91-1D22-4560-AA72-CC7AB976A65E}">
  <ds:schemaRefs>
    <ds:schemaRef ds:uri="http://gemini/pivotcustomization/TableXML_Departmental Profit Loss_72469cf3-d374-4c6c-8d3f-44e6e4c89a0c"/>
  </ds:schemaRefs>
</ds:datastoreItem>
</file>

<file path=customXml/itemProps90.xml><?xml version="1.0" encoding="utf-8"?>
<ds:datastoreItem xmlns:ds="http://schemas.openxmlformats.org/officeDocument/2006/customXml" ds:itemID="{D7B852FF-DB17-4521-9467-B6167A377A02}">
  <ds:schemaRefs>
    <ds:schemaRef ds:uri="http://gemini/pivotcustomization/TableXML_Departmental Profit Loss_Budget_5725de27-a7a3-4ab3-b0ba-d0f172ac636f"/>
  </ds:schemaRefs>
</ds:datastoreItem>
</file>

<file path=customXml/itemProps91.xml><?xml version="1.0" encoding="utf-8"?>
<ds:datastoreItem xmlns:ds="http://schemas.openxmlformats.org/officeDocument/2006/customXml" ds:itemID="{AAD7217E-329D-45C7-B94A-594E8C2D1EF1}">
  <ds:schemaRefs>
    <ds:schemaRef ds:uri="http://gemini/pivotcustomization/TableXML_Departmental Profit Loss_Budget_5725de27-a7a3-4ab3-b0ba-d0f172ac636f"/>
  </ds:schemaRefs>
</ds:datastoreItem>
</file>

<file path=customXml/itemProps92.xml><?xml version="1.0" encoding="utf-8"?>
<ds:datastoreItem xmlns:ds="http://schemas.openxmlformats.org/officeDocument/2006/customXml" ds:itemID="{17A4519B-B4FE-4F32-A474-8C3E20686955}">
  <ds:schemaRefs>
    <ds:schemaRef ds:uri="http://gemini/pivotcustomization/TableXML_Departmental Profit Loss_Budget_5725de27-a7a3-4ab3-b0ba-d0f172ac636f"/>
  </ds:schemaRefs>
</ds:datastoreItem>
</file>

<file path=customXml/itemProps93.xml><?xml version="1.0" encoding="utf-8"?>
<ds:datastoreItem xmlns:ds="http://schemas.openxmlformats.org/officeDocument/2006/customXml" ds:itemID="{1EBDB56E-B5DD-483B-808A-E56F6959F1CB}">
  <ds:schemaRefs>
    <ds:schemaRef ds:uri="http://gemini/pivotcustomization/TableXML_Departmental Profit Loss_72469cf3-d374-4c6c-8d3f-44e6e4c89a0c"/>
  </ds:schemaRefs>
</ds:datastoreItem>
</file>

<file path=customXml/itemProps94.xml><?xml version="1.0" encoding="utf-8"?>
<ds:datastoreItem xmlns:ds="http://schemas.openxmlformats.org/officeDocument/2006/customXml" ds:itemID="{BE91F8C9-776D-4720-B10F-FBD5BEB405B8}">
  <ds:schemaRefs>
    <ds:schemaRef ds:uri="http://gemini/pivotcustomization/TableXML_Departmental Profit Loss_72469cf3-d374-4c6c-8d3f-44e6e4c89a0c"/>
  </ds:schemaRefs>
</ds:datastoreItem>
</file>

<file path=customXml/itemProps95.xml><?xml version="1.0" encoding="utf-8"?>
<ds:datastoreItem xmlns:ds="http://schemas.openxmlformats.org/officeDocument/2006/customXml" ds:itemID="{0B88B333-5CC6-41C1-B915-03B390B8750B}">
  <ds:schemaRefs>
    <ds:schemaRef ds:uri="http://gemini/pivotcustomization/TableXML_Departmental Profit Loss_72469cf3-d374-4c6c-8d3f-44e6e4c89a0c"/>
  </ds:schemaRefs>
</ds:datastoreItem>
</file>

<file path=customXml/itemProps96.xml><?xml version="1.0" encoding="utf-8"?>
<ds:datastoreItem xmlns:ds="http://schemas.openxmlformats.org/officeDocument/2006/customXml" ds:itemID="{D2501F2A-8557-4005-8FC0-8C39A5C56AAA}">
  <ds:schemaRefs>
    <ds:schemaRef ds:uri="http://gemini/pivotcustomization/TableXML_Departmental Profit Loss_Budget_5725de27-a7a3-4ab3-b0ba-d0f172ac636f"/>
  </ds:schemaRefs>
</ds:datastoreItem>
</file>

<file path=customXml/itemProps97.xml><?xml version="1.0" encoding="utf-8"?>
<ds:datastoreItem xmlns:ds="http://schemas.openxmlformats.org/officeDocument/2006/customXml" ds:itemID="{C62AD9AA-DF53-4AAA-991D-2BAF724F0703}">
  <ds:schemaRefs>
    <ds:schemaRef ds:uri="http://gemini/pivotcustomization/TableXML_Calendar"/>
  </ds:schemaRefs>
</ds:datastoreItem>
</file>

<file path=customXml/itemProps98.xml><?xml version="1.0" encoding="utf-8"?>
<ds:datastoreItem xmlns:ds="http://schemas.openxmlformats.org/officeDocument/2006/customXml" ds:itemID="{9FA9AD22-7FEB-4D8A-8D66-25FA1E878EA7}">
  <ds:schemaRefs>
    <ds:schemaRef ds:uri="http://gemini/pivotcustomization/TableXML_Departmental Profit Loss_72469cf3-d374-4c6c-8d3f-44e6e4c89a0c"/>
  </ds:schemaRefs>
</ds:datastoreItem>
</file>

<file path=customXml/itemProps99.xml><?xml version="1.0" encoding="utf-8"?>
<ds:datastoreItem xmlns:ds="http://schemas.openxmlformats.org/officeDocument/2006/customXml" ds:itemID="{F0ADABA0-532D-4474-AEA2-9D10FE651800}">
  <ds:schemaRefs>
    <ds:schemaRef ds:uri="http://gemini/pivotcustomization/TableXML_Departmental Profit Loss_72469cf3-d374-4c6c-8d3f-44e6e4c89a0c"/>
  </ds:schemaRefs>
</ds:datastoreItem>
</file>

<file path=customXml/itemProps100.xml><?xml version="1.0" encoding="utf-8"?>
<ds:datastoreItem xmlns:ds="http://schemas.openxmlformats.org/officeDocument/2006/customXml" ds:itemID="{7CA42CE6-FCA8-4228-9BB3-4D2214664CFD}">
  <ds:schemaRefs>
    <ds:schemaRef ds:uri="http://gemini/pivotcustomization/dd92c931-f430-4aba-89a7-4fae2f38318c"/>
  </ds:schemaRefs>
</ds:datastoreItem>
</file>

<file path=customXml/itemProps101.xml><?xml version="1.0" encoding="utf-8"?>
<ds:datastoreItem xmlns:ds="http://schemas.openxmlformats.org/officeDocument/2006/customXml" ds:itemID="{9E92B71B-43D0-4678-92FC-3AB4524CC117}">
  <ds:schemaRefs>
    <ds:schemaRef ds:uri="http://gemini/pivotcustomization/TableXML_Section_Signs"/>
  </ds:schemaRefs>
</ds:datastoreItem>
</file>

<file path=customXml/itemProps102.xml><?xml version="1.0" encoding="utf-8"?>
<ds:datastoreItem xmlns:ds="http://schemas.openxmlformats.org/officeDocument/2006/customXml" ds:itemID="{AB3667C2-ED5A-49B4-B34D-F3AD165A9F35}">
  <ds:schemaRefs>
    <ds:schemaRef ds:uri="http://gemini/pivotcustomization/TableXML_Departmental Profit Loss_Budget_5725de27-a7a3-4ab3-b0ba-d0f172ac636f"/>
  </ds:schemaRefs>
</ds:datastoreItem>
</file>

<file path=customXml/itemProps103.xml><?xml version="1.0" encoding="utf-8"?>
<ds:datastoreItem xmlns:ds="http://schemas.openxmlformats.org/officeDocument/2006/customXml" ds:itemID="{AEC7857F-5A78-4268-AE50-E1AFB4AF51C1}">
  <ds:schemaRefs>
    <ds:schemaRef ds:uri="http://gemini/pivotcustomization/TableXML_Departmental Profit Loss_72469cf3-d374-4c6c-8d3f-44e6e4c89a0c"/>
  </ds:schemaRefs>
</ds:datastoreItem>
</file>

<file path=customXml/itemProps104.xml><?xml version="1.0" encoding="utf-8"?>
<ds:datastoreItem xmlns:ds="http://schemas.openxmlformats.org/officeDocument/2006/customXml" ds:itemID="{5B6B2BFE-2021-4B0D-9FF4-A98F543E87A5}">
  <ds:schemaRefs>
    <ds:schemaRef ds:uri="http://gemini/pivotcustomization/74d6171c-6a76-4ab7-b236-aed3a5a9449c"/>
  </ds:schemaRefs>
</ds:datastoreItem>
</file>

<file path=customXml/itemProps105.xml><?xml version="1.0" encoding="utf-8"?>
<ds:datastoreItem xmlns:ds="http://schemas.openxmlformats.org/officeDocument/2006/customXml" ds:itemID="{F5B8E9AC-A95F-4A9E-959E-B8B99032786B}">
  <ds:schemaRefs>
    <ds:schemaRef ds:uri="http://gemini/pivotcustomization/TableXML_GandA_ad32f0c9-1f45-4363-9fea-d1d4a6034984"/>
  </ds:schemaRefs>
</ds:datastoreItem>
</file>

<file path=customXml/itemProps106.xml><?xml version="1.0" encoding="utf-8"?>
<ds:datastoreItem xmlns:ds="http://schemas.openxmlformats.org/officeDocument/2006/customXml" ds:itemID="{69206B70-712D-417A-9D6E-9435CC6B8FC8}">
  <ds:schemaRefs>
    <ds:schemaRef ds:uri="http://gemini/pivotcustomization/845a2ebf-3e60-412c-a29c-db4b885ac8d9"/>
  </ds:schemaRefs>
</ds:datastoreItem>
</file>

<file path=customXml/itemProps107.xml><?xml version="1.0" encoding="utf-8"?>
<ds:datastoreItem xmlns:ds="http://schemas.openxmlformats.org/officeDocument/2006/customXml" ds:itemID="{EB8495B0-E3CC-41D6-ADED-D5A12D961157}">
  <ds:schemaRefs>
    <ds:schemaRef ds:uri="http://gemini/pivotcustomization/TableXML_Departmental Profit Loss_Budget_5725de27-a7a3-4ab3-b0ba-d0f172ac636f"/>
  </ds:schemaRefs>
</ds:datastoreItem>
</file>

<file path=customXml/itemProps108.xml><?xml version="1.0" encoding="utf-8"?>
<ds:datastoreItem xmlns:ds="http://schemas.openxmlformats.org/officeDocument/2006/customXml" ds:itemID="{266469B1-926E-43F6-87C2-63D1FEB485FC}">
  <ds:schemaRefs>
    <ds:schemaRef ds:uri="http://gemini/pivotcustomization/TableXML_Departmental Profit Loss_Budget_5725de27-a7a3-4ab3-b0ba-d0f172ac636f"/>
  </ds:schemaRefs>
</ds:datastoreItem>
</file>

<file path=customXml/itemProps109.xml><?xml version="1.0" encoding="utf-8"?>
<ds:datastoreItem xmlns:ds="http://schemas.openxmlformats.org/officeDocument/2006/customXml" ds:itemID="{F9B883E5-9852-478A-AFC3-663A7DCB79C6}">
  <ds:schemaRefs>
    <ds:schemaRef ds:uri="http://gemini/pivotcustomization/ErrorCache"/>
  </ds:schemaRefs>
</ds:datastoreItem>
</file>

<file path=customXml/itemProps110.xml><?xml version="1.0" encoding="utf-8"?>
<ds:datastoreItem xmlns:ds="http://schemas.openxmlformats.org/officeDocument/2006/customXml" ds:itemID="{2B855D2A-C884-45FE-8FE8-1166DC634118}">
  <ds:schemaRefs>
    <ds:schemaRef ds:uri="http://gemini/pivotcustomization/74b38768-469a-4b2e-a633-b7b863debef9"/>
  </ds:schemaRefs>
</ds:datastoreItem>
</file>

<file path=customXml/itemProps111.xml><?xml version="1.0" encoding="utf-8"?>
<ds:datastoreItem xmlns:ds="http://schemas.openxmlformats.org/officeDocument/2006/customXml" ds:itemID="{39577E33-65CE-4BC8-83A1-F99BE585D580}">
  <ds:schemaRefs>
    <ds:schemaRef ds:uri="http://gemini/pivotcustomization/TableXML_Departmental Profit Loss_72469cf3-d374-4c6c-8d3f-44e6e4c89a0c"/>
  </ds:schemaRefs>
</ds:datastoreItem>
</file>

<file path=customXml/itemProps112.xml><?xml version="1.0" encoding="utf-8"?>
<ds:datastoreItem xmlns:ds="http://schemas.openxmlformats.org/officeDocument/2006/customXml" ds:itemID="{EB1E70DC-6AE2-498D-91C3-1BFE4AAA5ABA}">
  <ds:schemaRefs>
    <ds:schemaRef ds:uri="http://gemini/pivotcustomization/TableWidget"/>
  </ds:schemaRefs>
</ds:datastoreItem>
</file>

<file path=customXml/itemProps113.xml><?xml version="1.0" encoding="utf-8"?>
<ds:datastoreItem xmlns:ds="http://schemas.openxmlformats.org/officeDocument/2006/customXml" ds:itemID="{19CFB726-576D-4229-83E7-9F0E649BB02F}">
  <ds:schemaRefs>
    <ds:schemaRef ds:uri="http://gemini/pivotcustomization/TableXML_Departmental Profit Loss_72469cf3-d374-4c6c-8d3f-44e6e4c89a0c"/>
  </ds:schemaRefs>
</ds:datastoreItem>
</file>

<file path=customXml/itemProps114.xml><?xml version="1.0" encoding="utf-8"?>
<ds:datastoreItem xmlns:ds="http://schemas.openxmlformats.org/officeDocument/2006/customXml" ds:itemID="{19A036DF-BEA2-4C58-B39C-E3C888E3F00E}">
  <ds:schemaRefs>
    <ds:schemaRef ds:uri="http://gemini/pivotcustomization/a812b2fa-4435-4478-879d-ecfbe708aa72"/>
  </ds:schemaRefs>
</ds:datastoreItem>
</file>

<file path=customXml/itemProps115.xml><?xml version="1.0" encoding="utf-8"?>
<ds:datastoreItem xmlns:ds="http://schemas.openxmlformats.org/officeDocument/2006/customXml" ds:itemID="{9F512FB7-8A41-436B-A170-CB8F473E2FF0}">
  <ds:schemaRefs>
    <ds:schemaRef ds:uri="http://gemini/pivotcustomization/TableXML_Departmental Profit Loss_72469cf3-d374-4c6c-8d3f-44e6e4c89a0c"/>
  </ds:schemaRefs>
</ds:datastoreItem>
</file>

<file path=customXml/itemProps116.xml><?xml version="1.0" encoding="utf-8"?>
<ds:datastoreItem xmlns:ds="http://schemas.openxmlformats.org/officeDocument/2006/customXml" ds:itemID="{CD86CF2A-A102-4279-97D4-5069B855C179}">
  <ds:schemaRefs>
    <ds:schemaRef ds:uri="http://gemini/pivotcustomization/6810937e-f186-4cf0-8541-d7cde86ee7c3"/>
  </ds:schemaRefs>
</ds:datastoreItem>
</file>

<file path=customXml/itemProps117.xml><?xml version="1.0" encoding="utf-8"?>
<ds:datastoreItem xmlns:ds="http://schemas.openxmlformats.org/officeDocument/2006/customXml" ds:itemID="{0C26D1AC-C4FC-49D3-BFE6-CD94E6084AA3}">
  <ds:schemaRefs>
    <ds:schemaRef ds:uri="http://gemini/pivotcustomization/TableXML_Departmental Profit Loss_Budget_5725de27-a7a3-4ab3-b0ba-d0f172ac636f"/>
  </ds:schemaRefs>
</ds:datastoreItem>
</file>

<file path=customXml/itemProps118.xml><?xml version="1.0" encoding="utf-8"?>
<ds:datastoreItem xmlns:ds="http://schemas.openxmlformats.org/officeDocument/2006/customXml" ds:itemID="{6D59ADF0-A818-4569-87FE-CE1E8DF49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267e8-2087-4430-8898-7e1d16711490"/>
    <ds:schemaRef ds:uri="16457750-3f8d-456e-a162-25cda7a13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9.xml><?xml version="1.0" encoding="utf-8"?>
<ds:datastoreItem xmlns:ds="http://schemas.openxmlformats.org/officeDocument/2006/customXml" ds:itemID="{3D369C86-1E4A-4346-83FD-2ABDBFCBB54B}">
  <ds:schemaRefs>
    <ds:schemaRef ds:uri="http://gemini/pivotcustomization/TableXML_Departmental Profit Loss_Budget_5725de27-a7a3-4ab3-b0ba-d0f172ac636f"/>
  </ds:schemaRefs>
</ds:datastoreItem>
</file>

<file path=customXml/itemProps120.xml><?xml version="1.0" encoding="utf-8"?>
<ds:datastoreItem xmlns:ds="http://schemas.openxmlformats.org/officeDocument/2006/customXml" ds:itemID="{40794848-13BD-4042-919C-146CCB62A05F}">
  <ds:schemaRefs>
    <ds:schemaRef ds:uri="http://gemini/pivotcustomization/TableXML_Departmental Profit Loss_Budget_5725de27-a7a3-4ab3-b0ba-d0f172ac636f"/>
  </ds:schemaRefs>
</ds:datastoreItem>
</file>

<file path=customXml/itemProps121.xml><?xml version="1.0" encoding="utf-8"?>
<ds:datastoreItem xmlns:ds="http://schemas.openxmlformats.org/officeDocument/2006/customXml" ds:itemID="{A607B93C-2453-495B-935D-A12DF1BA31D2}">
  <ds:schemaRefs>
    <ds:schemaRef ds:uri="http://gemini/pivotcustomization/TableOrder"/>
  </ds:schemaRefs>
</ds:datastoreItem>
</file>

<file path=customXml/itemProps122.xml><?xml version="1.0" encoding="utf-8"?>
<ds:datastoreItem xmlns:ds="http://schemas.openxmlformats.org/officeDocument/2006/customXml" ds:itemID="{F341DB0D-94A4-4994-9864-DA959FBD2487}">
  <ds:schemaRefs>
    <ds:schemaRef ds:uri="http://gemini/pivotcustomization/7bcb5c80-5a6a-4214-ab93-41a080b4ffd8"/>
  </ds:schemaRefs>
</ds:datastoreItem>
</file>

<file path=customXml/itemProps123.xml><?xml version="1.0" encoding="utf-8"?>
<ds:datastoreItem xmlns:ds="http://schemas.openxmlformats.org/officeDocument/2006/customXml" ds:itemID="{C4430A4A-5F1B-45CB-9C97-FA97635CE090}">
  <ds:schemaRefs>
    <ds:schemaRef ds:uri="http://gemini/pivotcustomization/TableXML_Departmental Profit Loss_Budget_5725de27-a7a3-4ab3-b0ba-d0f172ac636f"/>
  </ds:schemaRefs>
</ds:datastoreItem>
</file>

<file path=customXml/itemProps124.xml><?xml version="1.0" encoding="utf-8"?>
<ds:datastoreItem xmlns:ds="http://schemas.openxmlformats.org/officeDocument/2006/customXml" ds:itemID="{B00A5852-D62F-4C0E-A525-023BD999AC4D}">
  <ds:schemaRefs>
    <ds:schemaRef ds:uri="http://gemini/pivotcustomization/TableXML_Departments_d19390a2-f7e8-4234-a52e-03903a8acb0c"/>
  </ds:schemaRefs>
</ds:datastoreItem>
</file>

<file path=customXml/itemProps125.xml><?xml version="1.0" encoding="utf-8"?>
<ds:datastoreItem xmlns:ds="http://schemas.openxmlformats.org/officeDocument/2006/customXml" ds:itemID="{BE4D8254-481F-4147-865D-9F94499F9EE6}">
  <ds:schemaRefs>
    <ds:schemaRef ds:uri="http://gemini/pivotcustomization/TableXML_Departmental Profit Loss_72469cf3-d374-4c6c-8d3f-44e6e4c89a0c"/>
  </ds:schemaRefs>
</ds:datastoreItem>
</file>

<file path=customXml/itemProps126.xml><?xml version="1.0" encoding="utf-8"?>
<ds:datastoreItem xmlns:ds="http://schemas.openxmlformats.org/officeDocument/2006/customXml" ds:itemID="{AAB65EC2-0F04-4D1E-BC7B-A45B274B7F89}">
  <ds:schemaRefs>
    <ds:schemaRef ds:uri="http://gemini/pivotcustomization/TableXML_Departmental Profit Loss_72469cf3-d374-4c6c-8d3f-44e6e4c89a0c"/>
  </ds:schemaRefs>
</ds:datastoreItem>
</file>

<file path=customXml/itemProps127.xml><?xml version="1.0" encoding="utf-8"?>
<ds:datastoreItem xmlns:ds="http://schemas.openxmlformats.org/officeDocument/2006/customXml" ds:itemID="{66EA01A9-8496-4E86-85A7-93597C7935FE}">
  <ds:schemaRefs>
    <ds:schemaRef ds:uri="http://gemini/pivotcustomization/TableXML_Departmental Profit Loss_72469cf3-d374-4c6c-8d3f-44e6e4c89a0c"/>
  </ds:schemaRefs>
</ds:datastoreItem>
</file>

<file path=customXml/itemProps128.xml><?xml version="1.0" encoding="utf-8"?>
<ds:datastoreItem xmlns:ds="http://schemas.openxmlformats.org/officeDocument/2006/customXml" ds:itemID="{20805676-38A5-494A-847F-641BF4AC343E}">
  <ds:schemaRefs>
    <ds:schemaRef ds:uri="http://gemini/pivotcustomization/TableXML_Departmental Profit Loss_72469cf3-d374-4c6c-8d3f-44e6e4c89a0c"/>
  </ds:schemaRefs>
</ds:datastoreItem>
</file>

<file path=customXml/itemProps129.xml><?xml version="1.0" encoding="utf-8"?>
<ds:datastoreItem xmlns:ds="http://schemas.openxmlformats.org/officeDocument/2006/customXml" ds:itemID="{D5223B31-DEF2-408B-9A97-5A8E2CB59038}">
  <ds:schemaRefs>
    <ds:schemaRef ds:uri="http://gemini/pivotcustomization/81f93402-de67-4972-acd1-78893b986e94"/>
  </ds:schemaRefs>
</ds:datastoreItem>
</file>

<file path=customXml/itemProps130.xml><?xml version="1.0" encoding="utf-8"?>
<ds:datastoreItem xmlns:ds="http://schemas.openxmlformats.org/officeDocument/2006/customXml" ds:itemID="{8BC39702-D740-4223-963F-60DC917AB609}">
  <ds:schemaRefs>
    <ds:schemaRef ds:uri="http://gemini/pivotcustomization/TableXML_Departmental Profit Loss_72469cf3-d374-4c6c-8d3f-44e6e4c89a0c"/>
  </ds:schemaRefs>
</ds:datastoreItem>
</file>

<file path=customXml/itemProps131.xml><?xml version="1.0" encoding="utf-8"?>
<ds:datastoreItem xmlns:ds="http://schemas.openxmlformats.org/officeDocument/2006/customXml" ds:itemID="{DEF294C1-BC15-4B05-BDA4-FF3BAE3C034A}">
  <ds:schemaRefs>
    <ds:schemaRef ds:uri="http://gemini/pivotcustomization/89e19349-292f-467c-8591-df9f1d0db8f4"/>
  </ds:schemaRefs>
</ds:datastoreItem>
</file>

<file path=customXml/itemProps132.xml><?xml version="1.0" encoding="utf-8"?>
<ds:datastoreItem xmlns:ds="http://schemas.openxmlformats.org/officeDocument/2006/customXml" ds:itemID="{573ABB3C-EDF2-4EF4-AB7F-9434952DE40F}">
  <ds:schemaRefs>
    <ds:schemaRef ds:uri="http://gemini/pivotcustomization/TableXML_Departmental Profit Loss_Budget_5725de27-a7a3-4ab3-b0ba-d0f172ac636f"/>
  </ds:schemaRefs>
</ds:datastoreItem>
</file>

<file path=customXml/itemProps133.xml><?xml version="1.0" encoding="utf-8"?>
<ds:datastoreItem xmlns:ds="http://schemas.openxmlformats.org/officeDocument/2006/customXml" ds:itemID="{317E0FA1-6C6C-4C48-9F16-39F3B7D6CCBF}">
  <ds:schemaRefs>
    <ds:schemaRef ds:uri="http://gemini/pivotcustomization/TableXML_Departmental Profit Loss_72469cf3-d374-4c6c-8d3f-44e6e4c89a0c"/>
  </ds:schemaRefs>
</ds:datastoreItem>
</file>

<file path=customXml/itemProps134.xml><?xml version="1.0" encoding="utf-8"?>
<ds:datastoreItem xmlns:ds="http://schemas.openxmlformats.org/officeDocument/2006/customXml" ds:itemID="{2E177ED5-2F02-4602-8009-B6726D61D59A}">
  <ds:schemaRefs>
    <ds:schemaRef ds:uri="http://gemini/pivotcustomization/TableXML_Departmental Profit Loss_72469cf3-d374-4c6c-8d3f-44e6e4c89a0c"/>
  </ds:schemaRefs>
</ds:datastoreItem>
</file>

<file path=customXml/itemProps135.xml><?xml version="1.0" encoding="utf-8"?>
<ds:datastoreItem xmlns:ds="http://schemas.openxmlformats.org/officeDocument/2006/customXml" ds:itemID="{EE925A2C-F2E8-4569-899B-6ABB08588D1C}">
  <ds:schemaRefs>
    <ds:schemaRef ds:uri="http://gemini/pivotcustomization/9bbb79b4-fc25-44ac-b6bc-945ce4321b7a"/>
  </ds:schemaRefs>
</ds:datastoreItem>
</file>

<file path=customXml/itemProps136.xml><?xml version="1.0" encoding="utf-8"?>
<ds:datastoreItem xmlns:ds="http://schemas.openxmlformats.org/officeDocument/2006/customXml" ds:itemID="{CD56D331-0223-4F28-A726-E0022046FEC7}">
  <ds:schemaRefs>
    <ds:schemaRef ds:uri="http://gemini/pivotcustomization/c1cda4df-b383-4263-9e1a-57965c61adeb"/>
  </ds:schemaRefs>
</ds:datastoreItem>
</file>

<file path=customXml/itemProps137.xml><?xml version="1.0" encoding="utf-8"?>
<ds:datastoreItem xmlns:ds="http://schemas.openxmlformats.org/officeDocument/2006/customXml" ds:itemID="{7DBD2C07-C841-4ACE-8E51-7D7344B45711}">
  <ds:schemaRefs>
    <ds:schemaRef ds:uri="http://gemini/pivotcustomization/TableXML_Departmental Profit Loss_Budget_5725de27-a7a3-4ab3-b0ba-d0f172ac636f"/>
  </ds:schemaRefs>
</ds:datastoreItem>
</file>

<file path=customXml/itemProps138.xml><?xml version="1.0" encoding="utf-8"?>
<ds:datastoreItem xmlns:ds="http://schemas.openxmlformats.org/officeDocument/2006/customXml" ds:itemID="{7C11D2B2-C562-4DEF-801A-296A5F32F9FF}">
  <ds:schemaRefs>
    <ds:schemaRef ds:uri="http://gemini/pivotcustomization/ManualCalcMode"/>
  </ds:schemaRefs>
</ds:datastoreItem>
</file>

<file path=customXml/itemProps139.xml><?xml version="1.0" encoding="utf-8"?>
<ds:datastoreItem xmlns:ds="http://schemas.openxmlformats.org/officeDocument/2006/customXml" ds:itemID="{500C17C5-39D5-4E24-AB5F-9E9EA4767E8C}">
  <ds:schemaRefs>
    <ds:schemaRef ds:uri="http://gemini/pivotcustomization/TableXML_Departmental Profit Loss_72469cf3-d374-4c6c-8d3f-44e6e4c89a0c"/>
  </ds:schemaRefs>
</ds:datastoreItem>
</file>

<file path=customXml/itemProps140.xml><?xml version="1.0" encoding="utf-8"?>
<ds:datastoreItem xmlns:ds="http://schemas.openxmlformats.org/officeDocument/2006/customXml" ds:itemID="{28FE26C0-F35C-4577-B9BE-1C672550B18D}">
  <ds:schemaRefs>
    <ds:schemaRef ds:uri="http://gemini/pivotcustomization/TableXML_Departmental Profit Loss_72469cf3-d374-4c6c-8d3f-44e6e4c89a0c"/>
  </ds:schemaRefs>
</ds:datastoreItem>
</file>

<file path=customXml/itemProps141.xml><?xml version="1.0" encoding="utf-8"?>
<ds:datastoreItem xmlns:ds="http://schemas.openxmlformats.org/officeDocument/2006/customXml" ds:itemID="{ADA237F7-5094-4814-BAE2-270030834D8F}">
  <ds:schemaRefs>
    <ds:schemaRef ds:uri="http://gemini/pivotcustomization/LinkedTableUpdateMode"/>
  </ds:schemaRefs>
</ds:datastoreItem>
</file>

<file path=customXml/itemProps142.xml><?xml version="1.0" encoding="utf-8"?>
<ds:datastoreItem xmlns:ds="http://schemas.openxmlformats.org/officeDocument/2006/customXml" ds:itemID="{6BBA69B7-B3AC-4436-92BB-B30BE4220D58}">
  <ds:schemaRefs>
    <ds:schemaRef ds:uri="http://gemini/pivotcustomization/TableXML_Departmental Profit Loss_Budget_5725de27-a7a3-4ab3-b0ba-d0f172ac636f"/>
  </ds:schemaRefs>
</ds:datastoreItem>
</file>

<file path=customXml/itemProps143.xml><?xml version="1.0" encoding="utf-8"?>
<ds:datastoreItem xmlns:ds="http://schemas.openxmlformats.org/officeDocument/2006/customXml" ds:itemID="{1F629E19-9EDA-4957-B699-E608A0D4FDA1}">
  <ds:schemaRefs>
    <ds:schemaRef ds:uri="http://gemini/pivotcustomization/TableXML_Departmental Profit Loss_72469cf3-d374-4c6c-8d3f-44e6e4c89a0c"/>
  </ds:schemaRefs>
</ds:datastoreItem>
</file>

<file path=customXml/itemProps144.xml><?xml version="1.0" encoding="utf-8"?>
<ds:datastoreItem xmlns:ds="http://schemas.openxmlformats.org/officeDocument/2006/customXml" ds:itemID="{197E0E5C-5270-4658-BF0A-82418011D56D}">
  <ds:schemaRefs>
    <ds:schemaRef ds:uri="http://gemini/pivotcustomization/60e26ce5-9a83-4445-bc05-b64c29c7d44d"/>
  </ds:schemaRefs>
</ds:datastoreItem>
</file>

<file path=customXml/itemProps145.xml><?xml version="1.0" encoding="utf-8"?>
<ds:datastoreItem xmlns:ds="http://schemas.openxmlformats.org/officeDocument/2006/customXml" ds:itemID="{898A3A0F-4E80-4335-A4FD-FD99885DF3D2}">
  <ds:schemaRefs>
    <ds:schemaRef ds:uri="http://gemini/pivotcustomization/TableXML_Departmental Profit Loss_72469cf3-d374-4c6c-8d3f-44e6e4c89a0c"/>
  </ds:schemaRefs>
</ds:datastoreItem>
</file>

<file path=customXml/itemProps146.xml><?xml version="1.0" encoding="utf-8"?>
<ds:datastoreItem xmlns:ds="http://schemas.openxmlformats.org/officeDocument/2006/customXml" ds:itemID="{060AD155-A4B6-4691-B484-EC697740C71A}">
  <ds:schemaRefs>
    <ds:schemaRef ds:uri="http://gemini/pivotcustomization/TableXML_Departmental Profit Loss_Budget_5725de27-a7a3-4ab3-b0ba-d0f172ac636f"/>
  </ds:schemaRefs>
</ds:datastoreItem>
</file>

<file path=customXml/itemProps147.xml><?xml version="1.0" encoding="utf-8"?>
<ds:datastoreItem xmlns:ds="http://schemas.openxmlformats.org/officeDocument/2006/customXml" ds:itemID="{4FA9F4B7-7904-4D4B-A45C-45275B004981}">
  <ds:schemaRefs>
    <ds:schemaRef ds:uri="http://gemini/pivotcustomization/TableXML_Departmental Profit Loss_Budget_5725de27-a7a3-4ab3-b0ba-d0f172ac636f"/>
  </ds:schemaRefs>
</ds:datastoreItem>
</file>

<file path=customXml/itemProps148.xml><?xml version="1.0" encoding="utf-8"?>
<ds:datastoreItem xmlns:ds="http://schemas.openxmlformats.org/officeDocument/2006/customXml" ds:itemID="{39003DF5-8616-45DF-8D73-063321B2B37F}">
  <ds:schemaRefs>
    <ds:schemaRef ds:uri="http://gemini/pivotcustomization/TableXML_Departmental Profit Loss_72469cf3-d374-4c6c-8d3f-44e6e4c89a0c"/>
  </ds:schemaRefs>
</ds:datastoreItem>
</file>

<file path=customXml/itemProps149.xml><?xml version="1.0" encoding="utf-8"?>
<ds:datastoreItem xmlns:ds="http://schemas.openxmlformats.org/officeDocument/2006/customXml" ds:itemID="{57BE81E4-AE10-4143-B410-B4E4EB5322BE}">
  <ds:schemaRefs>
    <ds:schemaRef ds:uri="http://gemini/pivotcustomization/570897a9-c7fc-4663-992e-fc07c98f1a2f"/>
  </ds:schemaRefs>
</ds:datastoreItem>
</file>

<file path=customXml/itemProps150.xml><?xml version="1.0" encoding="utf-8"?>
<ds:datastoreItem xmlns:ds="http://schemas.openxmlformats.org/officeDocument/2006/customXml" ds:itemID="{A8610209-B98D-4345-AD8D-172CC8AC1FA6}">
  <ds:schemaRefs>
    <ds:schemaRef ds:uri="http://gemini/pivotcustomization/9944123b-d4f3-4a03-9394-8a2ac423be46"/>
  </ds:schemaRefs>
</ds:datastoreItem>
</file>

<file path=customXml/itemProps151.xml><?xml version="1.0" encoding="utf-8"?>
<ds:datastoreItem xmlns:ds="http://schemas.openxmlformats.org/officeDocument/2006/customXml" ds:itemID="{1A19ED74-F328-492E-A9C3-3F4A57151092}">
  <ds:schemaRefs>
    <ds:schemaRef ds:uri="http://gemini/pivotcustomization/TableXML_Departmental Profit Loss_72469cf3-d374-4c6c-8d3f-44e6e4c89a0c"/>
  </ds:schemaRefs>
</ds:datastoreItem>
</file>

<file path=customXml/itemProps152.xml><?xml version="1.0" encoding="utf-8"?>
<ds:datastoreItem xmlns:ds="http://schemas.openxmlformats.org/officeDocument/2006/customXml" ds:itemID="{5AB65320-969A-4754-A613-759ED7DD8DC0}">
  <ds:schemaRefs>
    <ds:schemaRef ds:uri="http://gemini/pivotcustomization/TableXML_Departmental Profit Loss_Budget_5725de27-a7a3-4ab3-b0ba-d0f172ac636f"/>
  </ds:schemaRefs>
</ds:datastoreItem>
</file>

<file path=customXml/itemProps153.xml><?xml version="1.0" encoding="utf-8"?>
<ds:datastoreItem xmlns:ds="http://schemas.openxmlformats.org/officeDocument/2006/customXml" ds:itemID="{5B42FB8A-69C8-4E18-8552-D44B7E2F8E62}">
  <ds:schemaRefs>
    <ds:schemaRef ds:uri="http://gemini/pivotcustomization/ClientWindowXML"/>
  </ds:schemaRefs>
</ds:datastoreItem>
</file>

<file path=customXml/itemProps154.xml><?xml version="1.0" encoding="utf-8"?>
<ds:datastoreItem xmlns:ds="http://schemas.openxmlformats.org/officeDocument/2006/customXml" ds:itemID="{8D8BDD1A-7339-4896-92E6-1A3F43E67B9E}">
  <ds:schemaRefs>
    <ds:schemaRef ds:uri="http://gemini/pivotcustomization/d7115f61-b3f7-434a-a242-e4bddce2bdd5"/>
  </ds:schemaRefs>
</ds:datastoreItem>
</file>

<file path=customXml/itemProps155.xml><?xml version="1.0" encoding="utf-8"?>
<ds:datastoreItem xmlns:ds="http://schemas.openxmlformats.org/officeDocument/2006/customXml" ds:itemID="{EDE9F277-270C-40F7-A9ED-FCDE3D6FAA0D}">
  <ds:schemaRefs>
    <ds:schemaRef ds:uri="http://gemini/pivotcustomization/6cff6473-2dc5-4c5f-bcfd-f87570dad1c6"/>
  </ds:schemaRefs>
</ds:datastoreItem>
</file>

<file path=customXml/itemProps156.xml><?xml version="1.0" encoding="utf-8"?>
<ds:datastoreItem xmlns:ds="http://schemas.openxmlformats.org/officeDocument/2006/customXml" ds:itemID="{BEE6872E-9639-4B8A-AC40-6E58DA3792F8}">
  <ds:schemaRefs>
    <ds:schemaRef ds:uri="http://gemini/pivotcustomization/TableXML_Departmental Profit Loss_Budget_5725de27-a7a3-4ab3-b0ba-d0f172ac636f"/>
  </ds:schemaRefs>
</ds:datastoreItem>
</file>

<file path=customXml/itemProps157.xml><?xml version="1.0" encoding="utf-8"?>
<ds:datastoreItem xmlns:ds="http://schemas.openxmlformats.org/officeDocument/2006/customXml" ds:itemID="{B340D880-0008-4F7A-96AD-B1B23FC9D65D}">
  <ds:schemaRefs>
    <ds:schemaRef ds:uri="http://gemini/pivotcustomization/TableXML_Departmental Profit Loss_72469cf3-d374-4c6c-8d3f-44e6e4c89a0c"/>
  </ds:schemaRefs>
</ds:datastoreItem>
</file>

<file path=customXml/itemProps158.xml><?xml version="1.0" encoding="utf-8"?>
<ds:datastoreItem xmlns:ds="http://schemas.openxmlformats.org/officeDocument/2006/customXml" ds:itemID="{8B01C3F6-AC3D-4521-BAD4-795FEC556C45}">
  <ds:schemaRefs>
    <ds:schemaRef ds:uri="http://gemini/pivotcustomization/TableXML_Departmental Profit Loss_Budget_5725de27-a7a3-4ab3-b0ba-d0f172ac636f"/>
  </ds:schemaRefs>
</ds:datastoreItem>
</file>

<file path=customXml/itemProps159.xml><?xml version="1.0" encoding="utf-8"?>
<ds:datastoreItem xmlns:ds="http://schemas.openxmlformats.org/officeDocument/2006/customXml" ds:itemID="{50B42FD6-2E3A-4415-AB3C-F42DFAA86BA6}">
  <ds:schemaRefs>
    <ds:schemaRef ds:uri="http://gemini/pivotcustomization/TableXML_Departmental Profit Loss_Budget_5725de27-a7a3-4ab3-b0ba-d0f172ac636f"/>
  </ds:schemaRefs>
</ds:datastoreItem>
</file>

<file path=customXml/itemProps160.xml><?xml version="1.0" encoding="utf-8"?>
<ds:datastoreItem xmlns:ds="http://schemas.openxmlformats.org/officeDocument/2006/customXml" ds:itemID="{20ADC7ED-1FCA-44ED-8C04-5C7EF226FBE7}">
  <ds:schemaRefs>
    <ds:schemaRef ds:uri="http://gemini/pivotcustomization/TableXML_Departmental Profit Loss_72469cf3-d374-4c6c-8d3f-44e6e4c89a0c"/>
  </ds:schemaRefs>
</ds:datastoreItem>
</file>

<file path=customXml/itemProps161.xml><?xml version="1.0" encoding="utf-8"?>
<ds:datastoreItem xmlns:ds="http://schemas.openxmlformats.org/officeDocument/2006/customXml" ds:itemID="{585986C1-7224-4A59-A413-59AB632A4B24}">
  <ds:schemaRefs>
    <ds:schemaRef ds:uri="http://gemini/pivotcustomization/TableXML_Departmental Profit Loss_72469cf3-d374-4c6c-8d3f-44e6e4c89a0c"/>
  </ds:schemaRefs>
</ds:datastoreItem>
</file>

<file path=customXml/itemProps162.xml><?xml version="1.0" encoding="utf-8"?>
<ds:datastoreItem xmlns:ds="http://schemas.openxmlformats.org/officeDocument/2006/customXml" ds:itemID="{D22D11B3-7B04-49EE-85E1-C4493C68FCEA}">
  <ds:schemaRefs>
    <ds:schemaRef ds:uri="http://schemas.microsoft.com/office/2006/metadata/properties"/>
    <ds:schemaRef ds:uri="http://schemas.microsoft.com/office/infopath/2007/PartnerControls"/>
    <ds:schemaRef ds:uri="0d1267e8-2087-4430-8898-7e1d16711490"/>
    <ds:schemaRef ds:uri="16457750-3f8d-456e-a162-25cda7a13520"/>
  </ds:schemaRefs>
</ds:datastoreItem>
</file>

<file path=customXml/itemProps163.xml><?xml version="1.0" encoding="utf-8"?>
<ds:datastoreItem xmlns:ds="http://schemas.openxmlformats.org/officeDocument/2006/customXml" ds:itemID="{0B22D66B-8B43-42F1-A52E-0400BEC7F066}">
  <ds:schemaRefs>
    <ds:schemaRef ds:uri="http://gemini/pivotcustomization/b588d03c-f3f5-4a8f-a90d-ce5f68cac574"/>
  </ds:schemaRefs>
</ds:datastoreItem>
</file>

<file path=customXml/itemProps164.xml><?xml version="1.0" encoding="utf-8"?>
<ds:datastoreItem xmlns:ds="http://schemas.openxmlformats.org/officeDocument/2006/customXml" ds:itemID="{0E21CE7F-4980-4F6E-9B8E-6DBCD0B17CDD}">
  <ds:schemaRefs>
    <ds:schemaRef ds:uri="http://gemini/pivotcustomization/139e28bc-8d93-4a1e-99d9-a5b681266f10"/>
  </ds:schemaRefs>
</ds:datastoreItem>
</file>

<file path=customXml/itemProps165.xml><?xml version="1.0" encoding="utf-8"?>
<ds:datastoreItem xmlns:ds="http://schemas.openxmlformats.org/officeDocument/2006/customXml" ds:itemID="{B433D8CC-D2B9-4A8F-993A-80F9D08225A1}">
  <ds:schemaRefs>
    <ds:schemaRef ds:uri="http://gemini/pivotcustomization/b2072cd5-bded-4f7e-be5a-d20a983988fb"/>
  </ds:schemaRefs>
</ds:datastoreItem>
</file>

<file path=customXml/itemProps166.xml><?xml version="1.0" encoding="utf-8"?>
<ds:datastoreItem xmlns:ds="http://schemas.openxmlformats.org/officeDocument/2006/customXml" ds:itemID="{E50BEC46-7BDD-432C-9BAB-69E1C11174FD}">
  <ds:schemaRefs>
    <ds:schemaRef ds:uri="http://gemini/pivotcustomization/RelationshipAutoDetectionEnabled"/>
  </ds:schemaRefs>
</ds:datastoreItem>
</file>

<file path=customXml/itemProps167.xml><?xml version="1.0" encoding="utf-8"?>
<ds:datastoreItem xmlns:ds="http://schemas.openxmlformats.org/officeDocument/2006/customXml" ds:itemID="{9E179E8E-6DDC-440D-AF34-FA0599A20BA3}">
  <ds:schemaRefs>
    <ds:schemaRef ds:uri="http://gemini/pivotcustomization/TableXML_Departmental Profit Loss_Budget_5725de27-a7a3-4ab3-b0ba-d0f172ac636f"/>
  </ds:schemaRefs>
</ds:datastoreItem>
</file>

<file path=customXml/itemProps168.xml><?xml version="1.0" encoding="utf-8"?>
<ds:datastoreItem xmlns:ds="http://schemas.openxmlformats.org/officeDocument/2006/customXml" ds:itemID="{98A66049-90BE-4D8F-9FCC-D1679AE3DA0E}">
  <ds:schemaRefs>
    <ds:schemaRef ds:uri="http://gemini/pivotcustomization/TableXML_Departmental Profit Loss_Budget_5725de27-a7a3-4ab3-b0ba-d0f172ac636f"/>
  </ds:schemaRefs>
</ds:datastoreItem>
</file>

<file path=customXml/itemProps169.xml><?xml version="1.0" encoding="utf-8"?>
<ds:datastoreItem xmlns:ds="http://schemas.openxmlformats.org/officeDocument/2006/customXml" ds:itemID="{3FDC6101-0553-4B17-BBAD-C036E703B904}">
  <ds:schemaRefs>
    <ds:schemaRef ds:uri="http://gemini/pivotcustomization/TableXML_Departmental Profit Loss_72469cf3-d374-4c6c-8d3f-44e6e4c89a0c"/>
  </ds:schemaRefs>
</ds:datastoreItem>
</file>

<file path=customXml/itemProps170.xml><?xml version="1.0" encoding="utf-8"?>
<ds:datastoreItem xmlns:ds="http://schemas.openxmlformats.org/officeDocument/2006/customXml" ds:itemID="{ABA30ECE-2A7F-4E8D-B13A-E4EE9656D491}">
  <ds:schemaRefs>
    <ds:schemaRef ds:uri="http://gemini/pivotcustomization/TableXML_Departmental Profit Loss_72469cf3-d374-4c6c-8d3f-44e6e4c89a0c"/>
  </ds:schemaRefs>
</ds:datastoreItem>
</file>

<file path=customXml/itemProps171.xml><?xml version="1.0" encoding="utf-8"?>
<ds:datastoreItem xmlns:ds="http://schemas.openxmlformats.org/officeDocument/2006/customXml" ds:itemID="{EE88FF03-7928-4E10-8F8D-1C6D8C7CC65D}">
  <ds:schemaRefs>
    <ds:schemaRef ds:uri="http://gemini/pivotcustomization/8cf195a4-900e-44eb-bbe9-aa3bd3cdb07a"/>
  </ds:schemaRefs>
</ds:datastoreItem>
</file>

<file path=customXml/itemProps172.xml><?xml version="1.0" encoding="utf-8"?>
<ds:datastoreItem xmlns:ds="http://schemas.openxmlformats.org/officeDocument/2006/customXml" ds:itemID="{EA0D1973-DE2A-4572-9880-E0B793CE0E0C}">
  <ds:schemaRefs>
    <ds:schemaRef ds:uri="http://gemini/pivotcustomization/TableXML_Departmental Profit Loss_72469cf3-d374-4c6c-8d3f-44e6e4c89a0c"/>
  </ds:schemaRefs>
</ds:datastoreItem>
</file>

<file path=customXml/itemProps173.xml><?xml version="1.0" encoding="utf-8"?>
<ds:datastoreItem xmlns:ds="http://schemas.openxmlformats.org/officeDocument/2006/customXml" ds:itemID="{F04111B5-D321-4F43-A41B-2D3CAD7B49DB}">
  <ds:schemaRefs>
    <ds:schemaRef ds:uri="http://gemini/pivotcustomization/TableXML_Departmental Profit Loss_72469cf3-d374-4c6c-8d3f-44e6e4c89a0c"/>
  </ds:schemaRefs>
</ds:datastoreItem>
</file>

<file path=customXml/itemProps174.xml><?xml version="1.0" encoding="utf-8"?>
<ds:datastoreItem xmlns:ds="http://schemas.openxmlformats.org/officeDocument/2006/customXml" ds:itemID="{6D8327A1-FAD2-4853-8185-E3A738FB8747}">
  <ds:schemaRefs>
    <ds:schemaRef ds:uri="http://gemini/pivotcustomization/TableXML_TableView"/>
  </ds:schemaRefs>
</ds:datastoreItem>
</file>

<file path=customXml/itemProps175.xml><?xml version="1.0" encoding="utf-8"?>
<ds:datastoreItem xmlns:ds="http://schemas.openxmlformats.org/officeDocument/2006/customXml" ds:itemID="{03FFC620-D39F-473A-A5F4-66E393EAC581}">
  <ds:schemaRefs>
    <ds:schemaRef ds:uri="http://gemini/pivotcustomization/TableXML_Departmental Profit Loss_72469cf3-d374-4c6c-8d3f-44e6e4c89a0c"/>
  </ds:schemaRefs>
</ds:datastoreItem>
</file>

<file path=customXml/itemProps176.xml><?xml version="1.0" encoding="utf-8"?>
<ds:datastoreItem xmlns:ds="http://schemas.openxmlformats.org/officeDocument/2006/customXml" ds:itemID="{2E4FBB8C-C9A4-49FA-A0AC-56C49277BF4E}">
  <ds:schemaRefs>
    <ds:schemaRef ds:uri="http://gemini/pivotcustomization/TableXML_Departmental Profit Loss_72469cf3-d374-4c6c-8d3f-44e6e4c89a0c"/>
  </ds:schemaRefs>
</ds:datastoreItem>
</file>

<file path=customXml/itemProps177.xml><?xml version="1.0" encoding="utf-8"?>
<ds:datastoreItem xmlns:ds="http://schemas.openxmlformats.org/officeDocument/2006/customXml" ds:itemID="{B1906DD7-198C-4DBF-BC85-3FA10A228CE9}">
  <ds:schemaRefs>
    <ds:schemaRef ds:uri="http://gemini/pivotcustomization/TableXML_Departmental Profit Loss_72469cf3-d374-4c6c-8d3f-44e6e4c89a0c"/>
  </ds:schemaRefs>
</ds:datastoreItem>
</file>

<file path=customXml/itemProps178.xml><?xml version="1.0" encoding="utf-8"?>
<ds:datastoreItem xmlns:ds="http://schemas.openxmlformats.org/officeDocument/2006/customXml" ds:itemID="{551D99DA-1371-4A52-9DE5-E09226F13848}">
  <ds:schemaRefs>
    <ds:schemaRef ds:uri="http://gemini/pivotcustomization/TableXML_Departmental Profit Loss_72469cf3-d374-4c6c-8d3f-44e6e4c89a0c"/>
  </ds:schemaRefs>
</ds:datastoreItem>
</file>

<file path=customXml/itemProps179.xml><?xml version="1.0" encoding="utf-8"?>
<ds:datastoreItem xmlns:ds="http://schemas.openxmlformats.org/officeDocument/2006/customXml" ds:itemID="{2194D41B-5C3E-4014-8DD7-7D1A3061EB58}">
  <ds:schemaRefs>
    <ds:schemaRef ds:uri="http://gemini/pivotcustomization/aa000665-8879-4e6a-ba50-8721deb058bc"/>
  </ds:schemaRefs>
</ds:datastoreItem>
</file>

<file path=customXml/itemProps180.xml><?xml version="1.0" encoding="utf-8"?>
<ds:datastoreItem xmlns:ds="http://schemas.openxmlformats.org/officeDocument/2006/customXml" ds:itemID="{0EC093D0-33E2-4060-A286-307D6562ABC8}">
  <ds:schemaRefs>
    <ds:schemaRef ds:uri="http://gemini/pivotcustomization/TableXML_Departmental Profit Loss_72469cf3-d374-4c6c-8d3f-44e6e4c89a0c"/>
  </ds:schemaRefs>
</ds:datastoreItem>
</file>

<file path=customXml/itemProps181.xml><?xml version="1.0" encoding="utf-8"?>
<ds:datastoreItem xmlns:ds="http://schemas.openxmlformats.org/officeDocument/2006/customXml" ds:itemID="{746ED1D5-A734-4F65-AFAA-28CCC8B78246}">
  <ds:schemaRefs>
    <ds:schemaRef ds:uri="http://gemini/pivotcustomization/TableXML_Departmental Profit Loss_72469cf3-d374-4c6c-8d3f-44e6e4c89a0c"/>
  </ds:schemaRefs>
</ds:datastoreItem>
</file>

<file path=customXml/itemProps182.xml><?xml version="1.0" encoding="utf-8"?>
<ds:datastoreItem xmlns:ds="http://schemas.openxmlformats.org/officeDocument/2006/customXml" ds:itemID="{70295006-64DA-4453-B63F-518755D61B1B}">
  <ds:schemaRefs>
    <ds:schemaRef ds:uri="http://gemini/pivotcustomization/TableXML_Departmental Profit Loss_72469cf3-d374-4c6c-8d3f-44e6e4c89a0c"/>
  </ds:schemaRefs>
</ds:datastoreItem>
</file>

<file path=customXml/itemProps183.xml><?xml version="1.0" encoding="utf-8"?>
<ds:datastoreItem xmlns:ds="http://schemas.openxmlformats.org/officeDocument/2006/customXml" ds:itemID="{8BCFEC84-7FC8-44EC-96AB-0AC0C3BCB2CB}">
  <ds:schemaRefs>
    <ds:schemaRef ds:uri="http://gemini/pivotcustomization/252adbd4-c607-408a-b5f6-852a8ab87abd"/>
  </ds:schemaRefs>
</ds:datastoreItem>
</file>

<file path=customXml/itemProps184.xml><?xml version="1.0" encoding="utf-8"?>
<ds:datastoreItem xmlns:ds="http://schemas.openxmlformats.org/officeDocument/2006/customXml" ds:itemID="{0B1DDC1B-5E5B-4B25-8B4D-F30C9B2A88B0}">
  <ds:schemaRefs>
    <ds:schemaRef ds:uri="http://gemini/pivotcustomization/6a29e224-1681-4cf4-8540-1c3a885d31cf"/>
  </ds:schemaRefs>
</ds:datastoreItem>
</file>

<file path=customXml/itemProps185.xml><?xml version="1.0" encoding="utf-8"?>
<ds:datastoreItem xmlns:ds="http://schemas.openxmlformats.org/officeDocument/2006/customXml" ds:itemID="{9501E3AA-6947-45B0-A010-21380D9C20BB}">
  <ds:schemaRefs>
    <ds:schemaRef ds:uri="http://gemini/pivotcustomization/SandboxNonEmpty"/>
  </ds:schemaRefs>
</ds:datastoreItem>
</file>

<file path=customXml/itemProps186.xml><?xml version="1.0" encoding="utf-8"?>
<ds:datastoreItem xmlns:ds="http://schemas.openxmlformats.org/officeDocument/2006/customXml" ds:itemID="{F62637CC-458F-4E7F-8AFF-3A5009FE9D90}">
  <ds:schemaRefs>
    <ds:schemaRef ds:uri="http://gemini/pivotcustomization/TableXML_Departmental Profit Loss_Budget_5725de27-a7a3-4ab3-b0ba-d0f172ac636f"/>
  </ds:schemaRefs>
</ds:datastoreItem>
</file>

<file path=customXml/itemProps187.xml><?xml version="1.0" encoding="utf-8"?>
<ds:datastoreItem xmlns:ds="http://schemas.openxmlformats.org/officeDocument/2006/customXml" ds:itemID="{5A155F71-51F9-451B-A601-2E91E58F14B1}">
  <ds:schemaRefs>
    <ds:schemaRef ds:uri="http://gemini/pivotcustomization/TableXML_Departmental Profit Loss_Budget_5725de27-a7a3-4ab3-b0ba-d0f172ac636f"/>
  </ds:schemaRefs>
</ds:datastoreItem>
</file>

<file path=customXml/itemProps188.xml><?xml version="1.0" encoding="utf-8"?>
<ds:datastoreItem xmlns:ds="http://schemas.openxmlformats.org/officeDocument/2006/customXml" ds:itemID="{FD8F4406-7536-4D35-9924-8B7595039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G&amp;A</vt:lpstr>
      <vt:lpstr>R&amp;D</vt:lpstr>
      <vt:lpstr>CS</vt:lpstr>
      <vt:lpstr>S&amp;M</vt:lpstr>
      <vt:lpstr>G&amp;A_Budget</vt:lpstr>
      <vt:lpstr>R&amp;D_Budget</vt:lpstr>
      <vt:lpstr>CS_Budget</vt:lpstr>
      <vt:lpstr>S&amp;M_Budget</vt:lpstr>
      <vt:lpstr>CS!CandS</vt:lpstr>
      <vt:lpstr>CS_Budget!CS_Budget</vt:lpstr>
      <vt:lpstr>'G&amp;A'!GandA</vt:lpstr>
      <vt:lpstr>'G&amp;A_Budget'!GandA_Budget</vt:lpstr>
      <vt:lpstr>'R&amp;D'!RandD</vt:lpstr>
      <vt:lpstr>'R&amp;D_Budget'!RandD_Budget</vt:lpstr>
      <vt:lpstr>'S&amp;M'!SandM</vt:lpstr>
      <vt:lpstr>'S&amp;M_Budget'!SandM_Budget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Aharonoff</dc:creator>
  <cp:keywords/>
  <dc:description/>
  <cp:lastModifiedBy>Wessel Tangai</cp:lastModifiedBy>
  <cp:revision/>
  <dcterms:created xsi:type="dcterms:W3CDTF">2024-08-09T21:14:56Z</dcterms:created>
  <dcterms:modified xsi:type="dcterms:W3CDTF">2025-04-06T12:49:27Z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0x010100E6FAE67CE2B7A849BC0898B7A9D77711</vt:lpwstr>
  </property>
</Properties>
</file>